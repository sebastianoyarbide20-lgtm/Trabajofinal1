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ebas\Desktop\Claude\"/>
    </mc:Choice>
  </mc:AlternateContent>
  <xr:revisionPtr revIDLastSave="0" documentId="13_ncr:1_{732D1980-353A-4F4F-A3D3-492DB9452B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puestos" sheetId="1" r:id="rId1"/>
    <sheet name="Préstamo INAES" sheetId="2" r:id="rId2"/>
    <sheet name="Comparación" sheetId="3" r:id="rId3"/>
    <sheet name="EERR" sheetId="4" r:id="rId4"/>
    <sheet name="Flujo de fondos" sheetId="5" r:id="rId5"/>
    <sheet name="Sensibilida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7" i="5" l="1"/>
  <c r="B37" i="5"/>
  <c r="G20" i="5"/>
  <c r="F20" i="5"/>
  <c r="E20" i="5"/>
  <c r="D20" i="5"/>
  <c r="C20" i="5"/>
  <c r="F16" i="5"/>
  <c r="E16" i="5"/>
  <c r="D16" i="5"/>
  <c r="C16" i="5"/>
  <c r="B16" i="5"/>
  <c r="G15" i="5"/>
  <c r="F15" i="5"/>
  <c r="E15" i="5"/>
  <c r="D15" i="5"/>
  <c r="B15" i="5"/>
  <c r="G14" i="5"/>
  <c r="F14" i="5"/>
  <c r="E14" i="5"/>
  <c r="D14" i="5"/>
  <c r="C14" i="5"/>
  <c r="B14" i="5"/>
  <c r="H14" i="5" s="1"/>
  <c r="G13" i="5"/>
  <c r="F13" i="5"/>
  <c r="E13" i="5"/>
  <c r="D13" i="5"/>
  <c r="C13" i="5"/>
  <c r="G10" i="5"/>
  <c r="F10" i="5"/>
  <c r="E10" i="5"/>
  <c r="D10" i="5"/>
  <c r="C10" i="5"/>
  <c r="G33" i="4"/>
  <c r="F33" i="4"/>
  <c r="E33" i="4"/>
  <c r="D33" i="4"/>
  <c r="C33" i="4"/>
  <c r="H33" i="4" s="1"/>
  <c r="F30" i="4"/>
  <c r="E30" i="4"/>
  <c r="D30" i="4"/>
  <c r="C30" i="4"/>
  <c r="G27" i="4"/>
  <c r="F27" i="4"/>
  <c r="E27" i="4"/>
  <c r="D27" i="4"/>
  <c r="C27" i="4"/>
  <c r="H27" i="4" s="1"/>
  <c r="G16" i="4"/>
  <c r="F16" i="4"/>
  <c r="E16" i="4"/>
  <c r="D16" i="4"/>
  <c r="C16" i="4"/>
  <c r="G15" i="4"/>
  <c r="F15" i="4"/>
  <c r="E15" i="4"/>
  <c r="D15" i="4"/>
  <c r="C15" i="4"/>
  <c r="H15" i="4" s="1"/>
  <c r="G13" i="4"/>
  <c r="F13" i="4"/>
  <c r="E13" i="4"/>
  <c r="D13" i="4"/>
  <c r="C13" i="4"/>
  <c r="G8" i="4"/>
  <c r="F8" i="4"/>
  <c r="E8" i="4"/>
  <c r="D8" i="4"/>
  <c r="C8" i="4"/>
  <c r="G7" i="4"/>
  <c r="F7" i="4"/>
  <c r="E7" i="4"/>
  <c r="D7" i="4"/>
  <c r="C7" i="4"/>
  <c r="G6" i="4"/>
  <c r="F6" i="4"/>
  <c r="E6" i="4"/>
  <c r="D6" i="4"/>
  <c r="C6" i="4"/>
  <c r="G23" i="3"/>
  <c r="F23" i="3"/>
  <c r="E23" i="3"/>
  <c r="D23" i="3"/>
  <c r="C23" i="3"/>
  <c r="G22" i="3"/>
  <c r="F22" i="3"/>
  <c r="E22" i="3"/>
  <c r="D22" i="3"/>
  <c r="C22" i="3"/>
  <c r="G20" i="3"/>
  <c r="F20" i="3"/>
  <c r="E20" i="3"/>
  <c r="D20" i="3"/>
  <c r="C20" i="3"/>
  <c r="G19" i="3"/>
  <c r="F19" i="3"/>
  <c r="E19" i="3"/>
  <c r="D19" i="3"/>
  <c r="C19" i="3"/>
  <c r="H19" i="3" s="1"/>
  <c r="G17" i="3"/>
  <c r="F17" i="3"/>
  <c r="E17" i="3"/>
  <c r="D17" i="3"/>
  <c r="H17" i="3" s="1"/>
  <c r="C17" i="3"/>
  <c r="G16" i="3"/>
  <c r="F16" i="3"/>
  <c r="E16" i="3"/>
  <c r="D16" i="3"/>
  <c r="C16" i="3"/>
  <c r="H16" i="3" s="1"/>
  <c r="G15" i="3"/>
  <c r="F15" i="3"/>
  <c r="E15" i="3"/>
  <c r="D15" i="3"/>
  <c r="C15" i="3"/>
  <c r="G14" i="3"/>
  <c r="F14" i="3"/>
  <c r="E14" i="3"/>
  <c r="D14" i="3"/>
  <c r="C14" i="3"/>
  <c r="G10" i="3"/>
  <c r="F10" i="3"/>
  <c r="E10" i="3"/>
  <c r="D10" i="3"/>
  <c r="C10" i="3"/>
  <c r="G9" i="3"/>
  <c r="F9" i="3"/>
  <c r="E9" i="3"/>
  <c r="D9" i="3"/>
  <c r="C9" i="3"/>
  <c r="H9" i="3" s="1"/>
  <c r="G8" i="3"/>
  <c r="F8" i="3"/>
  <c r="E8" i="3"/>
  <c r="D8" i="3"/>
  <c r="C8" i="3"/>
  <c r="H8" i="3" s="1"/>
  <c r="G7" i="3"/>
  <c r="F7" i="3"/>
  <c r="E7" i="3"/>
  <c r="D7" i="3"/>
  <c r="C7" i="3"/>
  <c r="H7" i="3" s="1"/>
  <c r="G6" i="3"/>
  <c r="F6" i="3"/>
  <c r="E6" i="3"/>
  <c r="D6" i="3"/>
  <c r="C6" i="3"/>
  <c r="H6" i="3" s="1"/>
  <c r="G5" i="3"/>
  <c r="F5" i="3"/>
  <c r="E5" i="3"/>
  <c r="E11" i="3" s="1"/>
  <c r="D5" i="3"/>
  <c r="D11" i="3" s="1"/>
  <c r="C5" i="3"/>
  <c r="C70" i="2"/>
  <c r="B70" i="2"/>
  <c r="C69" i="2"/>
  <c r="B69" i="2"/>
  <c r="C68" i="2"/>
  <c r="B68" i="2"/>
  <c r="C67" i="2"/>
  <c r="B67" i="2"/>
  <c r="C66" i="2"/>
  <c r="B66" i="2"/>
  <c r="C65" i="2"/>
  <c r="B65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D11" i="2"/>
  <c r="D12" i="2" s="1"/>
  <c r="D13" i="2" s="1"/>
  <c r="D14" i="2" s="1"/>
  <c r="C11" i="2"/>
  <c r="B11" i="2"/>
  <c r="E3" i="2"/>
  <c r="B20" i="5" s="1"/>
  <c r="B40" i="1"/>
  <c r="G9" i="4" s="1"/>
  <c r="B26" i="1"/>
  <c r="B12" i="1"/>
  <c r="E4" i="2" s="1"/>
  <c r="E5" i="2" s="1"/>
  <c r="B9" i="1"/>
  <c r="B25" i="3" s="1"/>
  <c r="H25" i="3" s="1"/>
  <c r="B8" i="1"/>
  <c r="G16" i="5" s="1"/>
  <c r="H10" i="5" l="1"/>
  <c r="D18" i="3"/>
  <c r="K10" i="2"/>
  <c r="E11" i="2" s="1"/>
  <c r="P11" i="2" s="1"/>
  <c r="E18" i="3"/>
  <c r="H7" i="4"/>
  <c r="B10" i="1"/>
  <c r="H14" i="3"/>
  <c r="E9" i="4"/>
  <c r="E10" i="4" s="1"/>
  <c r="E6" i="5" s="1"/>
  <c r="F9" i="4"/>
  <c r="F11" i="3"/>
  <c r="E20" i="4"/>
  <c r="E8" i="5" s="1"/>
  <c r="E12" i="5" s="1"/>
  <c r="C18" i="3"/>
  <c r="D15" i="2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H20" i="3"/>
  <c r="F20" i="4"/>
  <c r="F8" i="5" s="1"/>
  <c r="F12" i="5" s="1"/>
  <c r="H55" i="2"/>
  <c r="H39" i="2"/>
  <c r="H23" i="2"/>
  <c r="H59" i="2"/>
  <c r="H56" i="2"/>
  <c r="H40" i="2"/>
  <c r="H24" i="2"/>
  <c r="H57" i="2"/>
  <c r="H41" i="2"/>
  <c r="H25" i="2"/>
  <c r="H58" i="2"/>
  <c r="H42" i="2"/>
  <c r="H26" i="2"/>
  <c r="H61" i="2"/>
  <c r="H45" i="2"/>
  <c r="H29" i="2"/>
  <c r="H13" i="2"/>
  <c r="H63" i="2"/>
  <c r="H62" i="2"/>
  <c r="H46" i="2"/>
  <c r="H30" i="2"/>
  <c r="H14" i="2"/>
  <c r="H68" i="2"/>
  <c r="H52" i="2"/>
  <c r="H36" i="2"/>
  <c r="H20" i="2"/>
  <c r="H53" i="2"/>
  <c r="H37" i="2"/>
  <c r="H69" i="2"/>
  <c r="H21" i="2"/>
  <c r="H18" i="2"/>
  <c r="H33" i="2"/>
  <c r="H31" i="2"/>
  <c r="H27" i="2"/>
  <c r="H16" i="2"/>
  <c r="H17" i="2"/>
  <c r="H15" i="2"/>
  <c r="H51" i="2"/>
  <c r="H66" i="2"/>
  <c r="H44" i="2"/>
  <c r="H32" i="2"/>
  <c r="H67" i="2"/>
  <c r="H12" i="2"/>
  <c r="H19" i="2"/>
  <c r="H70" i="2"/>
  <c r="H54" i="2"/>
  <c r="H48" i="2"/>
  <c r="H38" i="2"/>
  <c r="H43" i="2"/>
  <c r="H28" i="2"/>
  <c r="H22" i="2"/>
  <c r="H11" i="2"/>
  <c r="H49" i="2"/>
  <c r="H50" i="2"/>
  <c r="H64" i="2"/>
  <c r="H34" i="2"/>
  <c r="H65" i="2"/>
  <c r="H60" i="2"/>
  <c r="H47" i="2"/>
  <c r="H35" i="2"/>
  <c r="C15" i="5"/>
  <c r="H15" i="5" s="1"/>
  <c r="C26" i="3"/>
  <c r="H26" i="3" s="1"/>
  <c r="H8" i="4"/>
  <c r="F10" i="4"/>
  <c r="H10" i="3"/>
  <c r="B28" i="3"/>
  <c r="H20" i="5"/>
  <c r="H15" i="3"/>
  <c r="H16" i="4"/>
  <c r="G11" i="3"/>
  <c r="H22" i="3"/>
  <c r="H6" i="4"/>
  <c r="F11" i="2"/>
  <c r="H5" i="3"/>
  <c r="C11" i="3"/>
  <c r="H13" i="4"/>
  <c r="H23" i="3"/>
  <c r="G10" i="4"/>
  <c r="H16" i="5"/>
  <c r="G27" i="3"/>
  <c r="H27" i="3" s="1"/>
  <c r="B13" i="5"/>
  <c r="G30" i="4"/>
  <c r="H30" i="4" s="1"/>
  <c r="F18" i="3"/>
  <c r="C9" i="4"/>
  <c r="C20" i="4"/>
  <c r="G18" i="3"/>
  <c r="D9" i="4"/>
  <c r="D10" i="4" s="1"/>
  <c r="D20" i="4"/>
  <c r="D8" i="5" s="1"/>
  <c r="D12" i="5" s="1"/>
  <c r="B16" i="1"/>
  <c r="G20" i="4"/>
  <c r="G8" i="5" s="1"/>
  <c r="G12" i="5" s="1"/>
  <c r="D6" i="5" l="1"/>
  <c r="H9" i="4"/>
  <c r="H71" i="2"/>
  <c r="G11" i="2"/>
  <c r="G6" i="5"/>
  <c r="D14" i="4"/>
  <c r="D17" i="4" s="1"/>
  <c r="D7" i="5" s="1"/>
  <c r="G14" i="4"/>
  <c r="G17" i="4" s="1"/>
  <c r="G7" i="5" s="1"/>
  <c r="G21" i="3"/>
  <c r="F14" i="4"/>
  <c r="F17" i="4" s="1"/>
  <c r="F7" i="5" s="1"/>
  <c r="E14" i="4"/>
  <c r="E17" i="4" s="1"/>
  <c r="E21" i="3"/>
  <c r="C21" i="3"/>
  <c r="D21" i="3"/>
  <c r="C14" i="4"/>
  <c r="F21" i="3"/>
  <c r="H20" i="4"/>
  <c r="C8" i="5"/>
  <c r="H18" i="3"/>
  <c r="F6" i="5"/>
  <c r="H11" i="3"/>
  <c r="B32" i="3"/>
  <c r="M11" i="2"/>
  <c r="B30" i="3"/>
  <c r="B17" i="5"/>
  <c r="H13" i="5"/>
  <c r="C10" i="4"/>
  <c r="C12" i="5" l="1"/>
  <c r="H12" i="5" s="1"/>
  <c r="H8" i="5"/>
  <c r="N11" i="2"/>
  <c r="K11" i="2"/>
  <c r="E12" i="2" s="1"/>
  <c r="H14" i="4"/>
  <c r="C17" i="4"/>
  <c r="H21" i="3"/>
  <c r="E7" i="5"/>
  <c r="E9" i="5" s="1"/>
  <c r="E11" i="5" s="1"/>
  <c r="E17" i="5" s="1"/>
  <c r="E19" i="4"/>
  <c r="E21" i="4" s="1"/>
  <c r="B28" i="5"/>
  <c r="B27" i="5"/>
  <c r="B24" i="5"/>
  <c r="H10" i="4"/>
  <c r="C19" i="4"/>
  <c r="C6" i="5"/>
  <c r="F19" i="4"/>
  <c r="F21" i="4" s="1"/>
  <c r="F9" i="5"/>
  <c r="F11" i="5" s="1"/>
  <c r="F17" i="5" s="1"/>
  <c r="G9" i="5"/>
  <c r="G11" i="5" s="1"/>
  <c r="G17" i="5" s="1"/>
  <c r="D19" i="4"/>
  <c r="D21" i="4" s="1"/>
  <c r="G19" i="4"/>
  <c r="G21" i="4" s="1"/>
  <c r="D9" i="5"/>
  <c r="D11" i="5" s="1"/>
  <c r="D17" i="5" s="1"/>
  <c r="C21" i="4" l="1"/>
  <c r="H19" i="4"/>
  <c r="H6" i="5"/>
  <c r="F12" i="2"/>
  <c r="P12" i="2"/>
  <c r="H17" i="4"/>
  <c r="C7" i="5"/>
  <c r="H7" i="5" s="1"/>
  <c r="B30" i="5"/>
  <c r="B29" i="5"/>
  <c r="M12" i="2" l="1"/>
  <c r="G12" i="2"/>
  <c r="C9" i="5"/>
  <c r="H21" i="4"/>
  <c r="C11" i="5" l="1"/>
  <c r="H9" i="5"/>
  <c r="N12" i="2"/>
  <c r="K12" i="2"/>
  <c r="E13" i="2" s="1"/>
  <c r="P13" i="2" l="1"/>
  <c r="F13" i="2"/>
  <c r="H11" i="5"/>
  <c r="C17" i="5"/>
  <c r="M13" i="2" l="1"/>
  <c r="G13" i="2"/>
  <c r="B40" i="5"/>
  <c r="B39" i="5"/>
  <c r="H17" i="5"/>
  <c r="B38" i="5"/>
  <c r="C27" i="5"/>
  <c r="C28" i="5"/>
  <c r="D28" i="5" l="1"/>
  <c r="D32" i="5" s="1"/>
  <c r="C32" i="5"/>
  <c r="N13" i="2"/>
  <c r="K13" i="2"/>
  <c r="E14" i="2" s="1"/>
  <c r="D27" i="5"/>
  <c r="D31" i="5"/>
  <c r="C31" i="5"/>
  <c r="E27" i="5" l="1"/>
  <c r="P14" i="2"/>
  <c r="F14" i="2"/>
  <c r="E28" i="5"/>
  <c r="F28" i="5" l="1"/>
  <c r="M14" i="2"/>
  <c r="G14" i="2"/>
  <c r="E32" i="5"/>
  <c r="F27" i="5"/>
  <c r="F31" i="5"/>
  <c r="E31" i="5"/>
  <c r="G27" i="5" l="1"/>
  <c r="G31" i="5"/>
  <c r="B41" i="5" s="1"/>
  <c r="N14" i="2"/>
  <c r="K14" i="2"/>
  <c r="E15" i="2" s="1"/>
  <c r="G28" i="5"/>
  <c r="G32" i="5" s="1"/>
  <c r="F32" i="5"/>
  <c r="B42" i="5" l="1"/>
  <c r="P15" i="2"/>
  <c r="F15" i="2"/>
  <c r="M15" i="2" l="1"/>
  <c r="G15" i="2"/>
  <c r="N15" i="2" l="1"/>
  <c r="K15" i="2"/>
  <c r="E16" i="2" s="1"/>
  <c r="P16" i="2" l="1"/>
  <c r="F16" i="2"/>
  <c r="M16" i="2" l="1"/>
  <c r="G16" i="2"/>
  <c r="N16" i="2" l="1"/>
  <c r="K16" i="2"/>
  <c r="E17" i="2" s="1"/>
  <c r="P17" i="2" l="1"/>
  <c r="F17" i="2"/>
  <c r="M17" i="2" l="1"/>
  <c r="G17" i="2"/>
  <c r="N17" i="2" l="1"/>
  <c r="K17" i="2"/>
  <c r="E18" i="2" s="1"/>
  <c r="P18" i="2" l="1"/>
  <c r="F18" i="2"/>
  <c r="M18" i="2" l="1"/>
  <c r="G18" i="2"/>
  <c r="N18" i="2" l="1"/>
  <c r="K18" i="2"/>
  <c r="E19" i="2" s="1"/>
  <c r="F19" i="2" l="1"/>
  <c r="P19" i="2"/>
  <c r="M19" i="2" l="1"/>
  <c r="G19" i="2"/>
  <c r="N19" i="2" l="1"/>
  <c r="K19" i="2"/>
  <c r="E20" i="2" s="1"/>
  <c r="F20" i="2" l="1"/>
  <c r="P20" i="2"/>
  <c r="M20" i="2" l="1"/>
  <c r="G20" i="2"/>
  <c r="N20" i="2" l="1"/>
  <c r="K20" i="2"/>
  <c r="E21" i="2" s="1"/>
  <c r="F21" i="2" l="1"/>
  <c r="P21" i="2"/>
  <c r="M21" i="2" l="1"/>
  <c r="G21" i="2"/>
  <c r="N21" i="2" l="1"/>
  <c r="K21" i="2"/>
  <c r="E22" i="2" s="1"/>
  <c r="F22" i="2" l="1"/>
  <c r="P22" i="2"/>
  <c r="M22" i="2" l="1"/>
  <c r="G22" i="2"/>
  <c r="N22" i="2" l="1"/>
  <c r="K22" i="2"/>
  <c r="E23" i="2" s="1"/>
  <c r="F23" i="2" l="1"/>
  <c r="P23" i="2"/>
  <c r="M23" i="2" l="1"/>
  <c r="G23" i="2"/>
  <c r="N23" i="2" l="1"/>
  <c r="K23" i="2"/>
  <c r="E24" i="2" s="1"/>
  <c r="F24" i="2" l="1"/>
  <c r="P24" i="2"/>
  <c r="M24" i="2" l="1"/>
  <c r="G24" i="2"/>
  <c r="N24" i="2" l="1"/>
  <c r="K24" i="2"/>
  <c r="E25" i="2" s="1"/>
  <c r="F25" i="2" l="1"/>
  <c r="P25" i="2"/>
  <c r="M25" i="2" l="1"/>
  <c r="G25" i="2"/>
  <c r="N25" i="2" l="1"/>
  <c r="K25" i="2"/>
  <c r="E26" i="2" s="1"/>
  <c r="P26" i="2" l="1"/>
  <c r="F26" i="2"/>
  <c r="M26" i="2" l="1"/>
  <c r="G26" i="2"/>
  <c r="N26" i="2" l="1"/>
  <c r="K26" i="2"/>
  <c r="E27" i="2" s="1"/>
  <c r="F27" i="2" l="1"/>
  <c r="P27" i="2"/>
  <c r="M27" i="2" l="1"/>
  <c r="G27" i="2"/>
  <c r="N27" i="2" l="1"/>
  <c r="K27" i="2"/>
  <c r="E28" i="2" s="1"/>
  <c r="F28" i="2" l="1"/>
  <c r="P28" i="2"/>
  <c r="M28" i="2" l="1"/>
  <c r="G28" i="2"/>
  <c r="N28" i="2" l="1"/>
  <c r="K28" i="2"/>
  <c r="E29" i="2" s="1"/>
  <c r="P29" i="2" l="1"/>
  <c r="F29" i="2"/>
  <c r="M29" i="2" l="1"/>
  <c r="G29" i="2"/>
  <c r="N29" i="2" l="1"/>
  <c r="K29" i="2"/>
  <c r="E30" i="2" s="1"/>
  <c r="F30" i="2" l="1"/>
  <c r="P30" i="2"/>
  <c r="M30" i="2" l="1"/>
  <c r="G30" i="2"/>
  <c r="N30" i="2" l="1"/>
  <c r="K30" i="2"/>
  <c r="E31" i="2" s="1"/>
  <c r="P31" i="2" l="1"/>
  <c r="F31" i="2"/>
  <c r="M31" i="2" l="1"/>
  <c r="G31" i="2"/>
  <c r="N31" i="2" l="1"/>
  <c r="K31" i="2"/>
  <c r="E32" i="2" s="1"/>
  <c r="P32" i="2" l="1"/>
  <c r="F32" i="2"/>
  <c r="M32" i="2" l="1"/>
  <c r="G32" i="2"/>
  <c r="N32" i="2" l="1"/>
  <c r="K32" i="2"/>
  <c r="E33" i="2" s="1"/>
  <c r="P33" i="2" l="1"/>
  <c r="F33" i="2"/>
  <c r="M33" i="2" l="1"/>
  <c r="G33" i="2"/>
  <c r="N33" i="2" l="1"/>
  <c r="K33" i="2"/>
  <c r="E34" i="2" s="1"/>
  <c r="P34" i="2" l="1"/>
  <c r="F34" i="2"/>
  <c r="M34" i="2" l="1"/>
  <c r="G34" i="2"/>
  <c r="N34" i="2" l="1"/>
  <c r="K34" i="2"/>
  <c r="E35" i="2" s="1"/>
  <c r="F35" i="2" l="1"/>
  <c r="P35" i="2"/>
  <c r="M35" i="2" l="1"/>
  <c r="G35" i="2"/>
  <c r="N35" i="2" l="1"/>
  <c r="K35" i="2"/>
  <c r="E36" i="2" s="1"/>
  <c r="P36" i="2" l="1"/>
  <c r="F36" i="2"/>
  <c r="M36" i="2" l="1"/>
  <c r="G36" i="2"/>
  <c r="N36" i="2" l="1"/>
  <c r="K36" i="2"/>
  <c r="E37" i="2" s="1"/>
  <c r="F37" i="2" l="1"/>
  <c r="P37" i="2"/>
  <c r="M37" i="2" l="1"/>
  <c r="G37" i="2"/>
  <c r="N37" i="2" l="1"/>
  <c r="K37" i="2"/>
  <c r="E38" i="2" s="1"/>
  <c r="F38" i="2" l="1"/>
  <c r="P38" i="2"/>
  <c r="M38" i="2" l="1"/>
  <c r="G38" i="2"/>
  <c r="N38" i="2" l="1"/>
  <c r="K38" i="2"/>
  <c r="E39" i="2" s="1"/>
  <c r="F39" i="2" l="1"/>
  <c r="P39" i="2"/>
  <c r="M39" i="2" l="1"/>
  <c r="G39" i="2"/>
  <c r="N39" i="2" l="1"/>
  <c r="K39" i="2"/>
  <c r="E40" i="2" s="1"/>
  <c r="F40" i="2" l="1"/>
  <c r="P40" i="2"/>
  <c r="M40" i="2" l="1"/>
  <c r="G40" i="2"/>
  <c r="N40" i="2" l="1"/>
  <c r="K40" i="2"/>
  <c r="E41" i="2" s="1"/>
  <c r="F41" i="2" l="1"/>
  <c r="P41" i="2"/>
  <c r="M41" i="2" l="1"/>
  <c r="G41" i="2"/>
  <c r="N41" i="2" l="1"/>
  <c r="K41" i="2"/>
  <c r="E42" i="2" s="1"/>
  <c r="F42" i="2" l="1"/>
  <c r="P42" i="2"/>
  <c r="M42" i="2" l="1"/>
  <c r="G42" i="2"/>
  <c r="N42" i="2" l="1"/>
  <c r="K42" i="2"/>
  <c r="E43" i="2" s="1"/>
  <c r="F43" i="2" l="1"/>
  <c r="P43" i="2"/>
  <c r="M43" i="2" l="1"/>
  <c r="G43" i="2"/>
  <c r="N43" i="2" l="1"/>
  <c r="K43" i="2"/>
  <c r="E44" i="2" s="1"/>
  <c r="F44" i="2" l="1"/>
  <c r="P44" i="2"/>
  <c r="M44" i="2" l="1"/>
  <c r="G44" i="2"/>
  <c r="N44" i="2" l="1"/>
  <c r="K44" i="2"/>
  <c r="E45" i="2" s="1"/>
  <c r="P45" i="2" l="1"/>
  <c r="F45" i="2"/>
  <c r="M45" i="2" l="1"/>
  <c r="G45" i="2"/>
  <c r="N45" i="2" l="1"/>
  <c r="K45" i="2"/>
  <c r="E46" i="2" s="1"/>
  <c r="P46" i="2" l="1"/>
  <c r="F46" i="2"/>
  <c r="M46" i="2" l="1"/>
  <c r="G46" i="2"/>
  <c r="N46" i="2" l="1"/>
  <c r="K46" i="2"/>
  <c r="E47" i="2" s="1"/>
  <c r="P47" i="2" l="1"/>
  <c r="F47" i="2"/>
  <c r="M47" i="2" l="1"/>
  <c r="G47" i="2"/>
  <c r="N47" i="2" l="1"/>
  <c r="K47" i="2"/>
  <c r="E48" i="2" s="1"/>
  <c r="P48" i="2" l="1"/>
  <c r="F48" i="2"/>
  <c r="M48" i="2" l="1"/>
  <c r="G48" i="2"/>
  <c r="N48" i="2" l="1"/>
  <c r="K48" i="2"/>
  <c r="E49" i="2" s="1"/>
  <c r="P49" i="2" l="1"/>
  <c r="F49" i="2"/>
  <c r="M49" i="2" l="1"/>
  <c r="G49" i="2"/>
  <c r="N49" i="2" l="1"/>
  <c r="K49" i="2"/>
  <c r="E50" i="2" s="1"/>
  <c r="P50" i="2" l="1"/>
  <c r="F50" i="2"/>
  <c r="M50" i="2" l="1"/>
  <c r="G50" i="2"/>
  <c r="N50" i="2" l="1"/>
  <c r="K50" i="2"/>
  <c r="E51" i="2" s="1"/>
  <c r="P51" i="2" l="1"/>
  <c r="F51" i="2"/>
  <c r="M51" i="2" l="1"/>
  <c r="G51" i="2"/>
  <c r="N51" i="2" l="1"/>
  <c r="K51" i="2"/>
  <c r="E52" i="2" s="1"/>
  <c r="P52" i="2" l="1"/>
  <c r="F52" i="2"/>
  <c r="M52" i="2" l="1"/>
  <c r="G52" i="2"/>
  <c r="N52" i="2" l="1"/>
  <c r="K52" i="2"/>
  <c r="E53" i="2" s="1"/>
  <c r="F53" i="2" l="1"/>
  <c r="P53" i="2"/>
  <c r="M53" i="2" l="1"/>
  <c r="G53" i="2"/>
  <c r="N53" i="2" l="1"/>
  <c r="K53" i="2"/>
  <c r="E54" i="2" s="1"/>
  <c r="F54" i="2" l="1"/>
  <c r="P54" i="2"/>
  <c r="M54" i="2" l="1"/>
  <c r="G54" i="2"/>
  <c r="N54" i="2" l="1"/>
  <c r="K54" i="2"/>
  <c r="E55" i="2" s="1"/>
  <c r="F55" i="2" l="1"/>
  <c r="P55" i="2"/>
  <c r="M55" i="2" l="1"/>
  <c r="G55" i="2"/>
  <c r="N55" i="2" l="1"/>
  <c r="K55" i="2"/>
  <c r="E56" i="2" s="1"/>
  <c r="F56" i="2" l="1"/>
  <c r="P56" i="2"/>
  <c r="M56" i="2" l="1"/>
  <c r="G56" i="2"/>
  <c r="N56" i="2" l="1"/>
  <c r="K56" i="2"/>
  <c r="E57" i="2" s="1"/>
  <c r="F57" i="2" l="1"/>
  <c r="P57" i="2"/>
  <c r="M57" i="2" l="1"/>
  <c r="G57" i="2"/>
  <c r="N57" i="2" l="1"/>
  <c r="K57" i="2"/>
  <c r="E58" i="2" s="1"/>
  <c r="P58" i="2" l="1"/>
  <c r="F58" i="2"/>
  <c r="M58" i="2" l="1"/>
  <c r="G58" i="2"/>
  <c r="N58" i="2" l="1"/>
  <c r="K58" i="2"/>
  <c r="E59" i="2" s="1"/>
  <c r="F59" i="2" l="1"/>
  <c r="P59" i="2"/>
  <c r="M59" i="2" l="1"/>
  <c r="G59" i="2"/>
  <c r="N59" i="2" l="1"/>
  <c r="K59" i="2"/>
  <c r="E60" i="2" s="1"/>
  <c r="F60" i="2" l="1"/>
  <c r="P60" i="2"/>
  <c r="M60" i="2" l="1"/>
  <c r="G60" i="2"/>
  <c r="N60" i="2" l="1"/>
  <c r="K60" i="2"/>
  <c r="E61" i="2" s="1"/>
  <c r="F61" i="2" l="1"/>
  <c r="P61" i="2"/>
  <c r="M61" i="2" l="1"/>
  <c r="G61" i="2"/>
  <c r="N61" i="2" l="1"/>
  <c r="K61" i="2"/>
  <c r="E62" i="2" s="1"/>
  <c r="P62" i="2" l="1"/>
  <c r="F62" i="2"/>
  <c r="M62" i="2" l="1"/>
  <c r="G62" i="2"/>
  <c r="N62" i="2" l="1"/>
  <c r="K62" i="2"/>
  <c r="E63" i="2" s="1"/>
  <c r="P63" i="2" l="1"/>
  <c r="F63" i="2"/>
  <c r="M63" i="2" l="1"/>
  <c r="G63" i="2"/>
  <c r="N63" i="2" l="1"/>
  <c r="K63" i="2"/>
  <c r="E64" i="2" s="1"/>
  <c r="P64" i="2" l="1"/>
  <c r="F64" i="2"/>
  <c r="M64" i="2" l="1"/>
  <c r="G64" i="2"/>
  <c r="N64" i="2" l="1"/>
  <c r="K64" i="2"/>
  <c r="E65" i="2" s="1"/>
  <c r="P65" i="2" l="1"/>
  <c r="F65" i="2"/>
  <c r="M65" i="2" l="1"/>
  <c r="G65" i="2"/>
  <c r="N65" i="2" l="1"/>
  <c r="K65" i="2"/>
  <c r="E66" i="2" s="1"/>
  <c r="P66" i="2" l="1"/>
  <c r="F66" i="2"/>
  <c r="M66" i="2" l="1"/>
  <c r="G66" i="2"/>
  <c r="N66" i="2" l="1"/>
  <c r="K66" i="2"/>
  <c r="E67" i="2" s="1"/>
  <c r="P67" i="2" l="1"/>
  <c r="F67" i="2"/>
  <c r="M67" i="2" l="1"/>
  <c r="G67" i="2"/>
  <c r="N67" i="2" l="1"/>
  <c r="K67" i="2"/>
  <c r="E68" i="2" s="1"/>
  <c r="F68" i="2" l="1"/>
  <c r="P68" i="2"/>
  <c r="M68" i="2" l="1"/>
  <c r="G68" i="2"/>
  <c r="N68" i="2" l="1"/>
  <c r="K68" i="2"/>
  <c r="E69" i="2" s="1"/>
  <c r="F69" i="2" l="1"/>
  <c r="P69" i="2"/>
  <c r="M69" i="2" l="1"/>
  <c r="G69" i="2"/>
  <c r="N69" i="2" l="1"/>
  <c r="K69" i="2"/>
  <c r="E70" i="2" s="1"/>
  <c r="F70" i="2" l="1"/>
  <c r="P70" i="2"/>
  <c r="C25" i="4" l="1"/>
  <c r="P71" i="2"/>
  <c r="D25" i="4"/>
  <c r="E25" i="4"/>
  <c r="F25" i="4"/>
  <c r="G25" i="4"/>
  <c r="M70" i="2"/>
  <c r="G70" i="2"/>
  <c r="F71" i="2"/>
  <c r="E6" i="2"/>
  <c r="E7" i="2" s="1"/>
  <c r="I56" i="2" l="1"/>
  <c r="I40" i="2"/>
  <c r="I24" i="2"/>
  <c r="I57" i="2"/>
  <c r="I41" i="2"/>
  <c r="I25" i="2"/>
  <c r="I44" i="2"/>
  <c r="I58" i="2"/>
  <c r="I42" i="2"/>
  <c r="I26" i="2"/>
  <c r="I59" i="2"/>
  <c r="I43" i="2"/>
  <c r="I27" i="2"/>
  <c r="I11" i="2"/>
  <c r="I60" i="2"/>
  <c r="I62" i="2"/>
  <c r="I46" i="2"/>
  <c r="I30" i="2"/>
  <c r="I14" i="2"/>
  <c r="I63" i="2"/>
  <c r="I47" i="2"/>
  <c r="I31" i="2"/>
  <c r="I15" i="2"/>
  <c r="I64" i="2"/>
  <c r="I69" i="2"/>
  <c r="I53" i="2"/>
  <c r="I37" i="2"/>
  <c r="I21" i="2"/>
  <c r="I70" i="2"/>
  <c r="I22" i="2"/>
  <c r="I54" i="2"/>
  <c r="I38" i="2"/>
  <c r="I33" i="2"/>
  <c r="I16" i="2"/>
  <c r="I13" i="2"/>
  <c r="I66" i="2"/>
  <c r="I65" i="2"/>
  <c r="I49" i="2"/>
  <c r="I68" i="2"/>
  <c r="I29" i="2"/>
  <c r="I32" i="2"/>
  <c r="I61" i="2"/>
  <c r="I48" i="2"/>
  <c r="I23" i="2"/>
  <c r="I12" i="2"/>
  <c r="I51" i="2"/>
  <c r="I20" i="2"/>
  <c r="I52" i="2"/>
  <c r="I50" i="2"/>
  <c r="I36" i="2"/>
  <c r="I35" i="2"/>
  <c r="I19" i="2"/>
  <c r="I17" i="2"/>
  <c r="I67" i="2"/>
  <c r="I45" i="2"/>
  <c r="I39" i="2"/>
  <c r="I55" i="2"/>
  <c r="I34" i="2"/>
  <c r="I28" i="2"/>
  <c r="I18" i="2"/>
  <c r="N70" i="2"/>
  <c r="G71" i="2"/>
  <c r="K70" i="2"/>
  <c r="C24" i="4"/>
  <c r="C21" i="5"/>
  <c r="M71" i="2"/>
  <c r="D24" i="4"/>
  <c r="D21" i="5"/>
  <c r="E21" i="5"/>
  <c r="E24" i="4"/>
  <c r="F24" i="4"/>
  <c r="F21" i="5"/>
  <c r="G24" i="4"/>
  <c r="G21" i="5"/>
  <c r="H25" i="4"/>
  <c r="O62" i="2" l="1"/>
  <c r="J62" i="2"/>
  <c r="L62" i="2" s="1"/>
  <c r="O48" i="2"/>
  <c r="J48" i="2"/>
  <c r="L48" i="2" s="1"/>
  <c r="O37" i="2"/>
  <c r="J37" i="2"/>
  <c r="L37" i="2" s="1"/>
  <c r="O59" i="2"/>
  <c r="J59" i="2"/>
  <c r="L59" i="2" s="1"/>
  <c r="H24" i="4"/>
  <c r="O38" i="2"/>
  <c r="J38" i="2"/>
  <c r="L38" i="2" s="1"/>
  <c r="O20" i="2"/>
  <c r="J20" i="2"/>
  <c r="L20" i="2" s="1"/>
  <c r="O51" i="2"/>
  <c r="J51" i="2"/>
  <c r="L51" i="2" s="1"/>
  <c r="C22" i="5"/>
  <c r="N71" i="2"/>
  <c r="D22" i="5"/>
  <c r="E22" i="5"/>
  <c r="F22" i="5"/>
  <c r="G22" i="5"/>
  <c r="O12" i="2"/>
  <c r="J12" i="2"/>
  <c r="L12" i="2" s="1"/>
  <c r="O21" i="2"/>
  <c r="J21" i="2"/>
  <c r="L21" i="2" s="1"/>
  <c r="O26" i="2"/>
  <c r="J26" i="2"/>
  <c r="L26" i="2" s="1"/>
  <c r="O45" i="2"/>
  <c r="J45" i="2"/>
  <c r="L45" i="2" s="1"/>
  <c r="O68" i="2"/>
  <c r="J68" i="2"/>
  <c r="L68" i="2" s="1"/>
  <c r="O15" i="2"/>
  <c r="J15" i="2"/>
  <c r="L15" i="2" s="1"/>
  <c r="O44" i="2"/>
  <c r="J44" i="2"/>
  <c r="L44" i="2" s="1"/>
  <c r="O27" i="2"/>
  <c r="J27" i="2"/>
  <c r="L27" i="2" s="1"/>
  <c r="O34" i="2"/>
  <c r="J34" i="2"/>
  <c r="L34" i="2" s="1"/>
  <c r="O53" i="2"/>
  <c r="J53" i="2"/>
  <c r="L53" i="2" s="1"/>
  <c r="O42" i="2"/>
  <c r="J42" i="2"/>
  <c r="L42" i="2" s="1"/>
  <c r="O29" i="2"/>
  <c r="J29" i="2"/>
  <c r="L29" i="2" s="1"/>
  <c r="O31" i="2"/>
  <c r="J31" i="2"/>
  <c r="L31" i="2" s="1"/>
  <c r="O25" i="2"/>
  <c r="J25" i="2"/>
  <c r="L25" i="2" s="1"/>
  <c r="O18" i="2"/>
  <c r="J18" i="2"/>
  <c r="L18" i="2" s="1"/>
  <c r="O41" i="2"/>
  <c r="J41" i="2"/>
  <c r="L41" i="2" s="1"/>
  <c r="O22" i="2"/>
  <c r="J22" i="2"/>
  <c r="L22" i="2" s="1"/>
  <c r="O32" i="2"/>
  <c r="J32" i="2"/>
  <c r="L32" i="2" s="1"/>
  <c r="O19" i="2"/>
  <c r="J19" i="2"/>
  <c r="L19" i="2" s="1"/>
  <c r="O66" i="2"/>
  <c r="J66" i="2"/>
  <c r="L66" i="2" s="1"/>
  <c r="O63" i="2"/>
  <c r="J63" i="2"/>
  <c r="L63" i="2" s="1"/>
  <c r="O57" i="2"/>
  <c r="J57" i="2"/>
  <c r="L57" i="2" s="1"/>
  <c r="O52" i="2"/>
  <c r="J52" i="2"/>
  <c r="L52" i="2" s="1"/>
  <c r="O54" i="2"/>
  <c r="J54" i="2"/>
  <c r="L54" i="2" s="1"/>
  <c r="O60" i="2"/>
  <c r="J60" i="2"/>
  <c r="L60" i="2" s="1"/>
  <c r="I71" i="2"/>
  <c r="O11" i="2"/>
  <c r="J11" i="2"/>
  <c r="O23" i="2"/>
  <c r="J23" i="2"/>
  <c r="L23" i="2" s="1"/>
  <c r="O28" i="2"/>
  <c r="J28" i="2"/>
  <c r="L28" i="2" s="1"/>
  <c r="O61" i="2"/>
  <c r="J61" i="2"/>
  <c r="L61" i="2" s="1"/>
  <c r="O55" i="2"/>
  <c r="J55" i="2"/>
  <c r="L55" i="2" s="1"/>
  <c r="O35" i="2"/>
  <c r="J35" i="2"/>
  <c r="L35" i="2" s="1"/>
  <c r="O13" i="2"/>
  <c r="J13" i="2"/>
  <c r="L13" i="2" s="1"/>
  <c r="O14" i="2"/>
  <c r="J14" i="2"/>
  <c r="L14" i="2" s="1"/>
  <c r="O24" i="2"/>
  <c r="J24" i="2"/>
  <c r="L24" i="2" s="1"/>
  <c r="O70" i="2"/>
  <c r="J70" i="2"/>
  <c r="L70" i="2" s="1"/>
  <c r="O69" i="2"/>
  <c r="J69" i="2"/>
  <c r="L69" i="2" s="1"/>
  <c r="O39" i="2"/>
  <c r="J39" i="2"/>
  <c r="L39" i="2" s="1"/>
  <c r="O64" i="2"/>
  <c r="J64" i="2"/>
  <c r="L64" i="2" s="1"/>
  <c r="O49" i="2"/>
  <c r="J49" i="2"/>
  <c r="L49" i="2" s="1"/>
  <c r="O17" i="2"/>
  <c r="J17" i="2"/>
  <c r="L17" i="2" s="1"/>
  <c r="O47" i="2"/>
  <c r="J47" i="2"/>
  <c r="L47" i="2" s="1"/>
  <c r="O36" i="2"/>
  <c r="J36" i="2"/>
  <c r="L36" i="2" s="1"/>
  <c r="O16" i="2"/>
  <c r="J16" i="2"/>
  <c r="L16" i="2" s="1"/>
  <c r="O30" i="2"/>
  <c r="J30" i="2"/>
  <c r="L30" i="2" s="1"/>
  <c r="O40" i="2"/>
  <c r="J40" i="2"/>
  <c r="L40" i="2" s="1"/>
  <c r="O43" i="2"/>
  <c r="J43" i="2"/>
  <c r="L43" i="2" s="1"/>
  <c r="O58" i="2"/>
  <c r="J58" i="2"/>
  <c r="L58" i="2" s="1"/>
  <c r="O67" i="2"/>
  <c r="J67" i="2"/>
  <c r="L67" i="2" s="1"/>
  <c r="O65" i="2"/>
  <c r="J65" i="2"/>
  <c r="L65" i="2" s="1"/>
  <c r="H21" i="5"/>
  <c r="O50" i="2"/>
  <c r="J50" i="2"/>
  <c r="L50" i="2" s="1"/>
  <c r="O33" i="2"/>
  <c r="J33" i="2"/>
  <c r="L33" i="2" s="1"/>
  <c r="O46" i="2"/>
  <c r="J46" i="2"/>
  <c r="L46" i="2" s="1"/>
  <c r="O56" i="2"/>
  <c r="J56" i="2"/>
  <c r="L56" i="2" s="1"/>
  <c r="F24" i="3" l="1"/>
  <c r="F28" i="3" s="1"/>
  <c r="F30" i="3" s="1"/>
  <c r="D26" i="4"/>
  <c r="D28" i="4" s="1"/>
  <c r="D32" i="4" s="1"/>
  <c r="D34" i="4" s="1"/>
  <c r="D23" i="5"/>
  <c r="D24" i="5" s="1"/>
  <c r="G26" i="4"/>
  <c r="G28" i="4" s="1"/>
  <c r="G32" i="4" s="1"/>
  <c r="G34" i="4" s="1"/>
  <c r="G23" i="5"/>
  <c r="G24" i="5" s="1"/>
  <c r="G24" i="3"/>
  <c r="G28" i="3" s="1"/>
  <c r="G30" i="3" s="1"/>
  <c r="O71" i="2"/>
  <c r="C23" i="5"/>
  <c r="C26" i="4"/>
  <c r="L11" i="2"/>
  <c r="J71" i="2"/>
  <c r="E24" i="3"/>
  <c r="E28" i="3" s="1"/>
  <c r="E30" i="3" s="1"/>
  <c r="E23" i="5"/>
  <c r="E24" i="5" s="1"/>
  <c r="E26" i="4"/>
  <c r="E28" i="4" s="1"/>
  <c r="E32" i="4" s="1"/>
  <c r="E34" i="4" s="1"/>
  <c r="F23" i="5"/>
  <c r="F24" i="5" s="1"/>
  <c r="F26" i="4"/>
  <c r="F28" i="4" s="1"/>
  <c r="F32" i="4" s="1"/>
  <c r="F34" i="4" s="1"/>
  <c r="D24" i="3"/>
  <c r="D28" i="3" s="1"/>
  <c r="D30" i="3" s="1"/>
  <c r="H22" i="5"/>
  <c r="H26" i="4" l="1"/>
  <c r="C28" i="4"/>
  <c r="L71" i="2"/>
  <c r="C24" i="3"/>
  <c r="H23" i="5"/>
  <c r="C24" i="5"/>
  <c r="H24" i="3" l="1"/>
  <c r="C28" i="3"/>
  <c r="C40" i="5"/>
  <c r="C38" i="5"/>
  <c r="B44" i="5" s="1"/>
  <c r="C39" i="5"/>
  <c r="H24" i="5"/>
  <c r="C30" i="5"/>
  <c r="C29" i="5"/>
  <c r="H28" i="4"/>
  <c r="C32" i="4"/>
  <c r="H32" i="4" l="1"/>
  <c r="C34" i="4"/>
  <c r="H34" i="4" s="1"/>
  <c r="D29" i="5"/>
  <c r="D33" i="5"/>
  <c r="C33" i="5"/>
  <c r="D30" i="5"/>
  <c r="D34" i="5" s="1"/>
  <c r="C34" i="5"/>
  <c r="C30" i="3"/>
  <c r="H30" i="3" s="1"/>
  <c r="H28" i="3"/>
  <c r="B33" i="3"/>
  <c r="B34" i="3" s="1"/>
  <c r="E29" i="5" l="1"/>
  <c r="E30" i="5"/>
  <c r="E34" i="5"/>
  <c r="F29" i="5" l="1"/>
  <c r="F30" i="5"/>
  <c r="F34" i="5"/>
  <c r="E33" i="5"/>
  <c r="G30" i="5" l="1"/>
  <c r="G34" i="5" s="1"/>
  <c r="C42" i="5" s="1"/>
  <c r="G29" i="5"/>
  <c r="G33" i="5" s="1"/>
  <c r="F33" i="5"/>
  <c r="C41" i="5" l="1"/>
</calcChain>
</file>

<file path=xl/sharedStrings.xml><?xml version="1.0" encoding="utf-8"?>
<sst xmlns="http://schemas.openxmlformats.org/spreadsheetml/2006/main" count="274" uniqueCount="225">
  <si>
    <t>Alternativa 3: utilitario propio con financiamiento INAES. Supuestos del modelo</t>
  </si>
  <si>
    <t>Moneda constante de septiembre de 2026 (momento 0). Texto azul: dato de entrada. Fondo amarillo: supuesto sobre la cooperativa, a reemplazar por el dato relevado. Texto negro: fórmula.</t>
  </si>
  <si>
    <t>A. Datos externos relevados</t>
  </si>
  <si>
    <t>Precio Dongfeng Captain W 412 CD sin IVA</t>
  </si>
  <si>
    <t>USD</t>
  </si>
  <si>
    <t>Lista de precios Magma/Dongfeng 01/25 (precio público sugerido).</t>
  </si>
  <si>
    <t>Precio Dongfeng Captain W 412 CD con IVA (10,5 %)</t>
  </si>
  <si>
    <t>Ídem. Pagadero en pesos al tipo vendedor BNA del día anterior al pago.</t>
  </si>
  <si>
    <t>Tipo de cambio BNA vendedor</t>
  </si>
  <si>
    <t>$/USD</t>
  </si>
  <si>
    <t>El Cronista, 28/09/2026.</t>
  </si>
  <si>
    <t>Precio neto en pesos (monto financiable)</t>
  </si>
  <si>
    <t>$</t>
  </si>
  <si>
    <t>El INAES no financia impuestos (Res. 1287/15, Anexo I, pto. 4).</t>
  </si>
  <si>
    <t>Precio con IVA en pesos</t>
  </si>
  <si>
    <t>IVA de la compra (crédito fiscal)</t>
  </si>
  <si>
    <t>Recuperable: la cooperativa es responsable inscripta.</t>
  </si>
  <si>
    <t>Tasa del préstamo INAES (efectiva anual)</t>
  </si>
  <si>
    <t>Res. INAES 1287/15, Anexo I, pto. 5: 6 % anual efectivo sobre saldos, en pesos.</t>
  </si>
  <si>
    <t>Tasa del préstamo INAES (efectiva mensual)</t>
  </si>
  <si>
    <t>Bonificación de intereses por pago puntual</t>
  </si>
  <si>
    <t>Res. 1287/15: 50 % del total de intereses, descontado de las últimas cuotas.</t>
  </si>
  <si>
    <t>Cantidad de cuotas mensuales</t>
  </si>
  <si>
    <t>Máximo admitido por la Res. 1287/15. Sin período de gracia.</t>
  </si>
  <si>
    <t>Alícuota de patente (pick-up, código B85)</t>
  </si>
  <si>
    <t>API Santa Fe, Patente Única sobre Vehículos, año fiscal 2026.</t>
  </si>
  <si>
    <t>Valuación fiscal supuesta del rodado</t>
  </si>
  <si>
    <t>Se supone igual al precio con IVA y constante en términos reales (criterio conservador).</t>
  </si>
  <si>
    <t>Revisión técnica obligatoria (por revisión)</t>
  </si>
  <si>
    <t>Tarifa APSV Santa Fe 2026. Primera a los 3 años, luego cada 2 años.</t>
  </si>
  <si>
    <t>Inflación mensual octubre 2026</t>
  </si>
  <si>
    <t>REM BCRA agosto 2026 (mediana).</t>
  </si>
  <si>
    <t>Inflación mensual noviembre 2026</t>
  </si>
  <si>
    <t>Inflación mensual diciembre 2026</t>
  </si>
  <si>
    <t>Inflación anual 2027</t>
  </si>
  <si>
    <t>Inflación anual 2028</t>
  </si>
  <si>
    <t>Inflación anual 2029 en adelante</t>
  </si>
  <si>
    <t>El REM no proyecta más allá de 2028: se mantiene la última expectativa disponible.</t>
  </si>
  <si>
    <t>TAMAR bancos privados septiembre 2026 (TNA)</t>
  </si>
  <si>
    <t>REM BCRA agosto 2026.</t>
  </si>
  <si>
    <t>Inflación esperada próximos 12 meses</t>
  </si>
  <si>
    <t>Tasa real implícita (TAMAR frente a inflación esperada)</t>
  </si>
  <si>
    <t>Costo de oportunidad real de los fondos de la cooperativa.</t>
  </si>
  <si>
    <t>Tasa de descuento real adoptada</t>
  </si>
  <si>
    <t>Redondeo de B26. Sensibilidad entre 3 % y 10 %.</t>
  </si>
  <si>
    <t>Seguro mensual del utilitario (uso comercial)</t>
  </si>
  <si>
    <t>Dentro del rango relevado para pick-ups en terceros completo ($120.000 a $170.000 por mes, 2026).</t>
  </si>
  <si>
    <t>B. Supuestos sobre la cooperativa (a validar con registros internos)</t>
  </si>
  <si>
    <t>Pago mensual por el vehículo del asociado 1 (auto)</t>
  </si>
  <si>
    <t>Anteproyecto, Capítulo I.</t>
  </si>
  <si>
    <t>Pago mensual por el vehículo del asociado 2 (4x4)</t>
  </si>
  <si>
    <t>Reparaciones proporcionales vehículo 1 (mensual)</t>
  </si>
  <si>
    <t>Supuesto: promedio de los últimos 12 meses.</t>
  </si>
  <si>
    <t>Reparaciones proporcionales vehículo 2, 4x4 (mensual)</t>
  </si>
  <si>
    <t>Combustible vehículo 1 (mensual)</t>
  </si>
  <si>
    <t>Combustible vehículo 2, 4x4 (mensual)</t>
  </si>
  <si>
    <t>Fletes contratados para traslado de materiales (mensual)</t>
  </si>
  <si>
    <t>Proporción de fletes que absorbe el utilitario</t>
  </si>
  <si>
    <t>Supuesto: la caja de 1.940 kg de carga útil reemplaza la mitad de los fletes.</t>
  </si>
  <si>
    <t>Proporción del pago y reparaciones del vehículo 2 que se evita</t>
  </si>
  <si>
    <t>Supuesto: el utilitario reemplaza por completo a la 4x4; el vehículo 1 continúa.</t>
  </si>
  <si>
    <t>Combustible mensual del utilitario</t>
  </si>
  <si>
    <t>Supuesto: igual al de la 4x4 reemplazada (mismos recorridos). No hay dato de consumo publicado.</t>
  </si>
  <si>
    <t>Mantenimiento del utilitario, años 1 y 2 (anual)</t>
  </si>
  <si>
    <t>Supuesto: services oficiales en garantía y neumáticos.</t>
  </si>
  <si>
    <t>Mantenimiento del utilitario, años 3 a 5 (anual)</t>
  </si>
  <si>
    <t>Supuesto: fuera de garantía, según registro histórico de reparaciones.</t>
  </si>
  <si>
    <t>Gastos iniciales (patentamiento, gestión y garantías)</t>
  </si>
  <si>
    <t>Supuesto: presupuesto de gestoría, escribanía y certificaciones contables.</t>
  </si>
  <si>
    <t>Valor residual al año 5 (% del precio neto)</t>
  </si>
  <si>
    <t>Supuesto de valor comercial. Sensibilidad entre 0 % y 55 %.</t>
  </si>
  <si>
    <t>Proporción del precio neto financiada por INAES</t>
  </si>
  <si>
    <t>Supuesto: la solicitud cubre el 100 % del precio neto.</t>
  </si>
  <si>
    <t>Vida útil contable del rodado (años)</t>
  </si>
  <si>
    <t>años</t>
  </si>
  <si>
    <t>Criterio contable habitual para rodados; coincide con el horizonte.</t>
  </si>
  <si>
    <t>Cuadro de amortización del préstamo INAES (sistema francés) y conversión a moneda constante</t>
  </si>
  <si>
    <t>Monto del préstamo</t>
  </si>
  <si>
    <t>Tasa efectiva mensual</t>
  </si>
  <si>
    <t>Cuota mensual nominal fija</t>
  </si>
  <si>
    <t>Intereses totales</t>
  </si>
  <si>
    <t>Bonificación total (se descuenta de las últimas cuotas)</t>
  </si>
  <si>
    <t>Mes</t>
  </si>
  <si>
    <t>Año</t>
  </si>
  <si>
    <t>Inflación mensual</t>
  </si>
  <si>
    <t>Índice de precios</t>
  </si>
  <si>
    <t>Saldo inicial</t>
  </si>
  <si>
    <t>Interés</t>
  </si>
  <si>
    <t>Amortización</t>
  </si>
  <si>
    <t>Cuota</t>
  </si>
  <si>
    <t>Bonificación aplicada</t>
  </si>
  <si>
    <t>Pago neto</t>
  </si>
  <si>
    <t>Saldo final</t>
  </si>
  <si>
    <t>Pago (moneda constante)</t>
  </si>
  <si>
    <t>Interés (moneda constante)</t>
  </si>
  <si>
    <t>Amortización (moneda constante)</t>
  </si>
  <si>
    <t>Bonificación (moneda constante)</t>
  </si>
  <si>
    <t>RECPAM del préstamo</t>
  </si>
  <si>
    <t>Total</t>
  </si>
  <si>
    <t>Moneda constante: importe nominal dividido por el índice de precios del mes (base septiembre 2026 = 1). RECPAM: ganancia por la pérdida de poder adquisitivo del saldo adeudado en pesos.</t>
  </si>
  <si>
    <t>Costos de transporte: situación actual frente a la alternativa 3 (moneda constante de septiembre 2026)</t>
  </si>
  <si>
    <t>Concepto</t>
  </si>
  <si>
    <t>Año 0</t>
  </si>
  <si>
    <t>Año 1</t>
  </si>
  <si>
    <t>Año 2</t>
  </si>
  <si>
    <t>Año 3</t>
  </si>
  <si>
    <t>Año 4</t>
  </si>
  <si>
    <t>Año 5</t>
  </si>
  <si>
    <t>Situación actual (vehículos aportados por asociados)</t>
  </si>
  <si>
    <t>Pago por el vehículo 1 (auto)</t>
  </si>
  <si>
    <t>Reparaciones proporcionales vehículo 1</t>
  </si>
  <si>
    <t>Pago por el vehículo 2 (4x4)</t>
  </si>
  <si>
    <t>Reparaciones proporcionales vehículo 2</t>
  </si>
  <si>
    <t>Combustible vehículos 1 y 2</t>
  </si>
  <si>
    <t>Fletes de materiales</t>
  </si>
  <si>
    <t>Total situación actual</t>
  </si>
  <si>
    <t>Alternativa 3 (utilitario propio financiado por INAES)</t>
  </si>
  <si>
    <t>Pago por el vehículo 1 (continúa)</t>
  </si>
  <si>
    <t>Pago remanente por el vehículo 2</t>
  </si>
  <si>
    <t>Reparaciones remanentes vehículo 2</t>
  </si>
  <si>
    <t>Combustible vehículo 1 y utilitario</t>
  </si>
  <si>
    <t>Fletes de materiales remanentes</t>
  </si>
  <si>
    <t>Seguro del utilitario</t>
  </si>
  <si>
    <t>Patente del utilitario</t>
  </si>
  <si>
    <t>Mantenimiento del utilitario</t>
  </si>
  <si>
    <t>Revisión técnica obligatoria</t>
  </si>
  <si>
    <t>Cuotas INAES pagadas (moneda constante)</t>
  </si>
  <si>
    <t>Aporte propio inicial (precio con IVA + gastos − préstamo)</t>
  </si>
  <si>
    <t>Recupero del IVA de la compra</t>
  </si>
  <si>
    <t>Valor residual del utilitario (se descuenta del costo)</t>
  </si>
  <si>
    <t>Total alternativa 3</t>
  </si>
  <si>
    <t>Ahorro de la alternativa 3 (actual − alternativa)</t>
  </si>
  <si>
    <t>Valor actual de costos (VAC) situación actual</t>
  </si>
  <si>
    <t>Valor actual de costos (VAC) alternativa 3</t>
  </si>
  <si>
    <t>Diferencia de VAC a favor de la alternativa 3</t>
  </si>
  <si>
    <t>La situación actual no tiene erogaciones en el año 0. La diferencia de VAC coincide con el VAN del flujo del inversionista.</t>
  </si>
  <si>
    <t>Estado de resultados proyectado incremental de la alternativa 3 (moneda constante de septiembre 2026)</t>
  </si>
  <si>
    <t>Diferencia entre la alternativa 3 y la situación actual. Los ahorros de costos se exponen como ingresos diferenciales.</t>
  </si>
  <si>
    <t>Ahorros de costos</t>
  </si>
  <si>
    <t>Pagos evitados por el vehículo 2 (4x4)</t>
  </si>
  <si>
    <t>Reparaciones evitadas del vehículo 2</t>
  </si>
  <si>
    <t>Fletes evitados</t>
  </si>
  <si>
    <t>Diferencia de combustible</t>
  </si>
  <si>
    <t>Total ahorros de costos</t>
  </si>
  <si>
    <t>Costos operativos del utilitario</t>
  </si>
  <si>
    <t>Seguro</t>
  </si>
  <si>
    <t>Patente</t>
  </si>
  <si>
    <t>Mantenimiento</t>
  </si>
  <si>
    <t>Total costos operativos</t>
  </si>
  <si>
    <t>Resultado operativo antes de amortizaciones</t>
  </si>
  <si>
    <t>Amortización del utilitario</t>
  </si>
  <si>
    <t>Resultado operativo</t>
  </si>
  <si>
    <t>Resultado financiero</t>
  </si>
  <si>
    <t>Intereses del préstamo INAES (moneda constante)</t>
  </si>
  <si>
    <t>RECPAM generado por el préstamo</t>
  </si>
  <si>
    <t>Bonificación de intereses obtenida</t>
  </si>
  <si>
    <t>Gastos iniciales de gestión, patentamiento y garantías</t>
  </si>
  <si>
    <t>Total resultado financiero</t>
  </si>
  <si>
    <t>Resultado por venta del utilitario (valor residual − valor contable)</t>
  </si>
  <si>
    <t>Resultado antes de impuestos</t>
  </si>
  <si>
    <t>Impuesto a las ganancias (exenta, art. 26 inc. d)</t>
  </si>
  <si>
    <t>Resultado neto incremental</t>
  </si>
  <si>
    <t>El IVA no integra el estado de resultados: la cooperativa es responsable inscripta y lo computa como crédito fiscal. El combustible del utilitario se supone igual al de la 4x4 reemplazada.</t>
  </si>
  <si>
    <t>Flujo de fondos de la alternativa 3 (moneda constante de septiembre 2026)</t>
  </si>
  <si>
    <t>Estructura de Sapag Chain (2011). Flujo incremental frente a la situación actual.</t>
  </si>
  <si>
    <t>Flujo del proyecto (sin financiamiento)</t>
  </si>
  <si>
    <t>Amortización (gasto no desembolsable)</t>
  </si>
  <si>
    <t>Utilidad antes de impuesto</t>
  </si>
  <si>
    <t>Impuesto a las ganancias (exenta)</t>
  </si>
  <si>
    <t>Utilidad neta</t>
  </si>
  <si>
    <t>Ajuste por amortización</t>
  </si>
  <si>
    <t>Inversión en el utilitario (precio con IVA)</t>
  </si>
  <si>
    <t>Recupero del IVA (crédito fiscal)</t>
  </si>
  <si>
    <t>Valor de desecho (método comercial)</t>
  </si>
  <si>
    <t>Flujo de fondos del proyecto</t>
  </si>
  <si>
    <t>Financiamiento INAES</t>
  </si>
  <si>
    <t>Préstamo recibido</t>
  </si>
  <si>
    <t>Intereses pagados (moneda constante)</t>
  </si>
  <si>
    <t>Amortización del capital (moneda constante)</t>
  </si>
  <si>
    <t>Bonificación aplicada a las últimas cuotas</t>
  </si>
  <si>
    <t>Flujo de fondos del inversionista (cooperativa)</t>
  </si>
  <si>
    <t>Flujos acumulados</t>
  </si>
  <si>
    <t>Proyecto: acumulado</t>
  </si>
  <si>
    <t>Proyecto: acumulado descontado</t>
  </si>
  <si>
    <t>Inversionista: acumulado</t>
  </si>
  <si>
    <t>Inversionista: acumulado descontado</t>
  </si>
  <si>
    <t>Auxiliar: recupero del proyecto</t>
  </si>
  <si>
    <t>Auxiliar: recupero descontado del proyecto</t>
  </si>
  <si>
    <t>Auxiliar: recupero del inversionista</t>
  </si>
  <si>
    <t>Auxiliar: recupero descontado del inversionista</t>
  </si>
  <si>
    <t>Indicadores (tasa de descuento real)</t>
  </si>
  <si>
    <t>Proyecto</t>
  </si>
  <si>
    <t>Inversionista</t>
  </si>
  <si>
    <t>Tasa de descuento real anual</t>
  </si>
  <si>
    <t>Valor actual neto (VAN)</t>
  </si>
  <si>
    <t>Tasa interna de retorno (TIR)</t>
  </si>
  <si>
    <t>TIR modificada (reinversión a la tasa de descuento)</t>
  </si>
  <si>
    <t>Período de recupero simple (años)</t>
  </si>
  <si>
    <t>Período de recupero descontado (años)</t>
  </si>
  <si>
    <t>Valor del financiamiento INAES (VAN inversionista − VAN proyecto)</t>
  </si>
  <si>
    <t>El flujo del inversionista cambia de signo más de una vez; por eso se informa también la TIR modificada.</t>
  </si>
  <si>
    <t>Análisis de sensibilidad (se modifica un supuesto por vez)</t>
  </si>
  <si>
    <t>Valores estáticos: surgen de recalcular el modelo con el supuesto indicado. Para otros escenarios, modificar la hoja Supuestos.</t>
  </si>
  <si>
    <t>Escenario</t>
  </si>
  <si>
    <t>VAN proyecto</t>
  </si>
  <si>
    <t>VAN inversionista</t>
  </si>
  <si>
    <t>TIR inversionista</t>
  </si>
  <si>
    <t>Caso base</t>
  </si>
  <si>
    <t>El utilitario reemplaza a ambos vehículos (pago, reparaciones y combustible del vehículo 1)</t>
  </si>
  <si>
    <t>Sin ahorro de fletes</t>
  </si>
  <si>
    <t>Valor residual nulo (método contable)</t>
  </si>
  <si>
    <t>Valor residual 25 %</t>
  </si>
  <si>
    <t>Valor residual 55 %</t>
  </si>
  <si>
    <t>Tasa de descuento real 3 %</t>
  </si>
  <si>
    <t>Tasa de descuento real 10 %</t>
  </si>
  <si>
    <t>Inflación de 10 % anual desde 2027</t>
  </si>
  <si>
    <t>Pérdida de la bonificación por mora</t>
  </si>
  <si>
    <t>Tipo de cambio 10 % mayor al comprar</t>
  </si>
  <si>
    <t>Seguro todo riesgo ($250.000 mensuales)</t>
  </si>
  <si>
    <t>Mantenimiento 50 % mayor</t>
  </si>
  <si>
    <t>Patente como camión (1,5 %)</t>
  </si>
  <si>
    <t>Valores críticos (VAN = 0)</t>
  </si>
  <si>
    <t>Valor residual mínimo para VAN del inversionista = 0 (% del precio neto)</t>
  </si>
  <si>
    <t>Pago mensual por la 4x4 que hace VAN del proyecto = 0</t>
  </si>
  <si>
    <t>Pago mensual por la 4x4 que hace VAN del inversionista 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</si>
</sst>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0.0%;\(0.0%\);&quot;-&quot;"/>
    <numFmt numFmtId="166" formatCode="0.000%"/>
    <numFmt numFmtId="167" formatCode="0.0000"/>
  </numFmts>
  <fonts count="7" x14ac:knownFonts="1">
    <font>
      <sz val="11"/>
      <color theme="1"/>
      <name val="Calibri"/>
      <family val="2"/>
      <scheme val="minor"/>
    </font>
    <font>
      <b/>
      <sz val="13"/>
      <name val="Arial"/>
    </font>
    <font>
      <i/>
      <sz val="9"/>
      <color rgb="FF555555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E7DD"/>
      </patternFill>
    </fill>
    <fill>
      <patternFill patternType="solid">
        <fgColor rgb="FFFFFF00"/>
      </patternFill>
    </fill>
    <fill>
      <patternFill patternType="solid">
        <fgColor rgb="FFEEF3EF"/>
      </patternFill>
    </fill>
  </fills>
  <borders count="2">
    <border>
      <left/>
      <right/>
      <top/>
      <bottom/>
      <diagonal/>
    </border>
    <border>
      <left/>
      <right/>
      <top style="thin">
        <color rgb="FF999999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3" fontId="5" fillId="0" borderId="0" xfId="0" applyNumberFormat="1" applyFont="1"/>
    <xf numFmtId="164" fontId="4" fillId="0" borderId="0" xfId="0" applyNumberFormat="1" applyFont="1"/>
    <xf numFmtId="165" fontId="5" fillId="0" borderId="0" xfId="0" applyNumberFormat="1" applyFont="1"/>
    <xf numFmtId="166" fontId="4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165" fontId="4" fillId="0" borderId="0" xfId="0" applyNumberFormat="1" applyFont="1"/>
    <xf numFmtId="164" fontId="5" fillId="3" borderId="0" xfId="0" applyNumberFormat="1" applyFont="1" applyFill="1"/>
    <xf numFmtId="165" fontId="5" fillId="3" borderId="0" xfId="0" applyNumberFormat="1" applyFont="1" applyFill="1"/>
    <xf numFmtId="1" fontId="5" fillId="3" borderId="0" xfId="0" applyNumberFormat="1" applyFont="1" applyFill="1"/>
    <xf numFmtId="164" fontId="6" fillId="0" borderId="0" xfId="0" applyNumberFormat="1" applyFont="1"/>
    <xf numFmtId="166" fontId="6" fillId="0" borderId="0" xfId="0" applyNumberFormat="1" applyFont="1"/>
    <xf numFmtId="0" fontId="3" fillId="2" borderId="0" xfId="0" applyFont="1" applyFill="1" applyAlignment="1">
      <alignment horizontal="center" vertical="center" wrapText="1"/>
    </xf>
    <xf numFmtId="167" fontId="4" fillId="0" borderId="0" xfId="0" applyNumberFormat="1" applyFont="1"/>
    <xf numFmtId="10" fontId="6" fillId="0" borderId="0" xfId="0" applyNumberFormat="1" applyFont="1"/>
    <xf numFmtId="0" fontId="3" fillId="0" borderId="0" xfId="0" applyFont="1"/>
    <xf numFmtId="164" fontId="3" fillId="0" borderId="1" xfId="0" applyNumberFormat="1" applyFont="1" applyBorder="1"/>
    <xf numFmtId="0" fontId="3" fillId="2" borderId="0" xfId="0" applyFont="1" applyFill="1" applyAlignment="1">
      <alignment horizontal="right"/>
    </xf>
    <xf numFmtId="0" fontId="3" fillId="4" borderId="0" xfId="0" applyFont="1" applyFill="1"/>
    <xf numFmtId="0" fontId="3" fillId="0" borderId="1" xfId="0" applyFont="1" applyBorder="1"/>
    <xf numFmtId="164" fontId="3" fillId="0" borderId="0" xfId="0" applyNumberFormat="1" applyFont="1"/>
    <xf numFmtId="2" fontId="2" fillId="0" borderId="0" xfId="0" applyNumberFormat="1" applyFont="1"/>
    <xf numFmtId="165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0" fontId="3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6"/>
  <sheetViews>
    <sheetView showGridLines="0" tabSelected="1" workbookViewId="0"/>
  </sheetViews>
  <sheetFormatPr baseColWidth="10" defaultColWidth="8.88671875" defaultRowHeight="14.4" x14ac:dyDescent="0.3"/>
  <cols>
    <col min="1" max="1" width="60" customWidth="1"/>
    <col min="2" max="2" width="16" customWidth="1"/>
    <col min="3" max="3" width="9" customWidth="1"/>
    <col min="4" max="4" width="95" customWidth="1"/>
  </cols>
  <sheetData>
    <row r="1" spans="1:4" ht="16.8" x14ac:dyDescent="0.3">
      <c r="A1" s="1" t="s">
        <v>0</v>
      </c>
    </row>
    <row r="2" spans="1:4" x14ac:dyDescent="0.3">
      <c r="A2" s="2" t="s">
        <v>1</v>
      </c>
    </row>
    <row r="4" spans="1:4" x14ac:dyDescent="0.3">
      <c r="A4" s="3" t="s">
        <v>2</v>
      </c>
      <c r="B4" s="4"/>
      <c r="C4" s="4"/>
      <c r="D4" s="4"/>
    </row>
    <row r="5" spans="1:4" x14ac:dyDescent="0.3">
      <c r="A5" s="5" t="s">
        <v>3</v>
      </c>
      <c r="B5" s="6">
        <v>21891</v>
      </c>
      <c r="C5" s="5" t="s">
        <v>4</v>
      </c>
      <c r="D5" s="2" t="s">
        <v>5</v>
      </c>
    </row>
    <row r="6" spans="1:4" x14ac:dyDescent="0.3">
      <c r="A6" s="5" t="s">
        <v>6</v>
      </c>
      <c r="B6" s="6">
        <v>24190</v>
      </c>
      <c r="C6" s="5" t="s">
        <v>4</v>
      </c>
      <c r="D6" s="2" t="s">
        <v>7</v>
      </c>
    </row>
    <row r="7" spans="1:4" x14ac:dyDescent="0.3">
      <c r="A7" s="5" t="s">
        <v>8</v>
      </c>
      <c r="B7" s="6">
        <v>1550</v>
      </c>
      <c r="C7" s="5" t="s">
        <v>9</v>
      </c>
      <c r="D7" s="2" t="s">
        <v>10</v>
      </c>
    </row>
    <row r="8" spans="1:4" x14ac:dyDescent="0.3">
      <c r="A8" s="5" t="s">
        <v>11</v>
      </c>
      <c r="B8" s="7">
        <f>B5*B7</f>
        <v>33931050</v>
      </c>
      <c r="C8" s="5" t="s">
        <v>12</v>
      </c>
      <c r="D8" s="2" t="s">
        <v>13</v>
      </c>
    </row>
    <row r="9" spans="1:4" x14ac:dyDescent="0.3">
      <c r="A9" s="5" t="s">
        <v>14</v>
      </c>
      <c r="B9" s="7">
        <f>B6*B7</f>
        <v>37494500</v>
      </c>
      <c r="C9" s="5" t="s">
        <v>12</v>
      </c>
      <c r="D9" s="2"/>
    </row>
    <row r="10" spans="1:4" x14ac:dyDescent="0.3">
      <c r="A10" s="5" t="s">
        <v>15</v>
      </c>
      <c r="B10" s="7">
        <f>B9-B8</f>
        <v>3563450</v>
      </c>
      <c r="C10" s="5" t="s">
        <v>12</v>
      </c>
      <c r="D10" s="2" t="s">
        <v>16</v>
      </c>
    </row>
    <row r="11" spans="1:4" x14ac:dyDescent="0.3">
      <c r="A11" s="5" t="s">
        <v>17</v>
      </c>
      <c r="B11" s="8">
        <v>0.06</v>
      </c>
      <c r="C11" s="5"/>
      <c r="D11" s="2" t="s">
        <v>18</v>
      </c>
    </row>
    <row r="12" spans="1:4" x14ac:dyDescent="0.3">
      <c r="A12" s="5" t="s">
        <v>19</v>
      </c>
      <c r="B12" s="9">
        <f>(1+B11)^(1/12)-1</f>
        <v>4.8675505653430484E-3</v>
      </c>
      <c r="C12" s="5"/>
      <c r="D12" s="2"/>
    </row>
    <row r="13" spans="1:4" x14ac:dyDescent="0.3">
      <c r="A13" s="5" t="s">
        <v>20</v>
      </c>
      <c r="B13" s="8">
        <v>0.5</v>
      </c>
      <c r="C13" s="5"/>
      <c r="D13" s="2" t="s">
        <v>21</v>
      </c>
    </row>
    <row r="14" spans="1:4" x14ac:dyDescent="0.3">
      <c r="A14" s="5" t="s">
        <v>22</v>
      </c>
      <c r="B14" s="10">
        <v>60</v>
      </c>
      <c r="C14" s="5"/>
      <c r="D14" s="2" t="s">
        <v>23</v>
      </c>
    </row>
    <row r="15" spans="1:4" x14ac:dyDescent="0.3">
      <c r="A15" s="5" t="s">
        <v>24</v>
      </c>
      <c r="B15" s="8">
        <v>0.02</v>
      </c>
      <c r="C15" s="5"/>
      <c r="D15" s="2" t="s">
        <v>25</v>
      </c>
    </row>
    <row r="16" spans="1:4" x14ac:dyDescent="0.3">
      <c r="A16" s="5" t="s">
        <v>26</v>
      </c>
      <c r="B16" s="7">
        <f>B9</f>
        <v>37494500</v>
      </c>
      <c r="C16" s="5" t="s">
        <v>12</v>
      </c>
      <c r="D16" s="2" t="s">
        <v>27</v>
      </c>
    </row>
    <row r="17" spans="1:4" x14ac:dyDescent="0.3">
      <c r="A17" s="5" t="s">
        <v>28</v>
      </c>
      <c r="B17" s="11">
        <v>75000</v>
      </c>
      <c r="C17" s="5" t="s">
        <v>12</v>
      </c>
      <c r="D17" s="2" t="s">
        <v>29</v>
      </c>
    </row>
    <row r="18" spans="1:4" x14ac:dyDescent="0.3">
      <c r="A18" s="5" t="s">
        <v>30</v>
      </c>
      <c r="B18" s="8">
        <v>1.7000000000000001E-2</v>
      </c>
      <c r="C18" s="5"/>
      <c r="D18" s="2" t="s">
        <v>31</v>
      </c>
    </row>
    <row r="19" spans="1:4" x14ac:dyDescent="0.3">
      <c r="A19" s="5" t="s">
        <v>32</v>
      </c>
      <c r="B19" s="8">
        <v>1.6E-2</v>
      </c>
      <c r="C19" s="5"/>
      <c r="D19" s="2" t="s">
        <v>31</v>
      </c>
    </row>
    <row r="20" spans="1:4" x14ac:dyDescent="0.3">
      <c r="A20" s="5" t="s">
        <v>33</v>
      </c>
      <c r="B20" s="8">
        <v>1.7999999999999999E-2</v>
      </c>
      <c r="C20" s="5"/>
      <c r="D20" s="2" t="s">
        <v>31</v>
      </c>
    </row>
    <row r="21" spans="1:4" x14ac:dyDescent="0.3">
      <c r="A21" s="5" t="s">
        <v>34</v>
      </c>
      <c r="B21" s="8">
        <v>0.20499999999999999</v>
      </c>
      <c r="C21" s="5"/>
      <c r="D21" s="2" t="s">
        <v>31</v>
      </c>
    </row>
    <row r="22" spans="1:4" x14ac:dyDescent="0.3">
      <c r="A22" s="5" t="s">
        <v>35</v>
      </c>
      <c r="B22" s="8">
        <v>0.14099999999999999</v>
      </c>
      <c r="C22" s="5"/>
      <c r="D22" s="2" t="s">
        <v>31</v>
      </c>
    </row>
    <row r="23" spans="1:4" x14ac:dyDescent="0.3">
      <c r="A23" s="5" t="s">
        <v>36</v>
      </c>
      <c r="B23" s="8">
        <v>0.14099999999999999</v>
      </c>
      <c r="C23" s="5"/>
      <c r="D23" s="2" t="s">
        <v>37</v>
      </c>
    </row>
    <row r="24" spans="1:4" x14ac:dyDescent="0.3">
      <c r="A24" s="5" t="s">
        <v>38</v>
      </c>
      <c r="B24" s="8">
        <v>0.24110000000000001</v>
      </c>
      <c r="C24" s="5"/>
      <c r="D24" s="2" t="s">
        <v>39</v>
      </c>
    </row>
    <row r="25" spans="1:4" x14ac:dyDescent="0.3">
      <c r="A25" s="5" t="s">
        <v>40</v>
      </c>
      <c r="B25" s="8">
        <v>0.21</v>
      </c>
      <c r="C25" s="5"/>
      <c r="D25" s="2" t="s">
        <v>39</v>
      </c>
    </row>
    <row r="26" spans="1:4" x14ac:dyDescent="0.3">
      <c r="A26" s="5" t="s">
        <v>41</v>
      </c>
      <c r="B26" s="12">
        <f>(1+B24/12)^12/(1+B25)-1</f>
        <v>4.9264613668037027E-2</v>
      </c>
      <c r="C26" s="5"/>
      <c r="D26" s="2" t="s">
        <v>42</v>
      </c>
    </row>
    <row r="27" spans="1:4" x14ac:dyDescent="0.3">
      <c r="A27" s="5" t="s">
        <v>43</v>
      </c>
      <c r="B27" s="8">
        <v>0.05</v>
      </c>
      <c r="C27" s="5"/>
      <c r="D27" s="2" t="s">
        <v>44</v>
      </c>
    </row>
    <row r="28" spans="1:4" x14ac:dyDescent="0.3">
      <c r="A28" s="5" t="s">
        <v>45</v>
      </c>
      <c r="B28" s="11">
        <v>150000</v>
      </c>
      <c r="C28" s="5" t="s">
        <v>12</v>
      </c>
      <c r="D28" s="2" t="s">
        <v>46</v>
      </c>
    </row>
    <row r="30" spans="1:4" x14ac:dyDescent="0.3">
      <c r="A30" s="3" t="s">
        <v>47</v>
      </c>
      <c r="B30" s="4"/>
      <c r="C30" s="4"/>
      <c r="D30" s="4"/>
    </row>
    <row r="31" spans="1:4" x14ac:dyDescent="0.3">
      <c r="A31" s="5" t="s">
        <v>48</v>
      </c>
      <c r="B31" s="11">
        <v>250000</v>
      </c>
      <c r="C31" s="5" t="s">
        <v>12</v>
      </c>
      <c r="D31" s="2" t="s">
        <v>49</v>
      </c>
    </row>
    <row r="32" spans="1:4" x14ac:dyDescent="0.3">
      <c r="A32" s="5" t="s">
        <v>50</v>
      </c>
      <c r="B32" s="11">
        <v>450000</v>
      </c>
      <c r="C32" s="5" t="s">
        <v>12</v>
      </c>
      <c r="D32" s="2" t="s">
        <v>49</v>
      </c>
    </row>
    <row r="33" spans="1:4" x14ac:dyDescent="0.3">
      <c r="A33" s="5" t="s">
        <v>51</v>
      </c>
      <c r="B33" s="13">
        <v>60000</v>
      </c>
      <c r="C33" s="5" t="s">
        <v>12</v>
      </c>
      <c r="D33" s="2" t="s">
        <v>52</v>
      </c>
    </row>
    <row r="34" spans="1:4" x14ac:dyDescent="0.3">
      <c r="A34" s="5" t="s">
        <v>53</v>
      </c>
      <c r="B34" s="13">
        <v>110000</v>
      </c>
      <c r="C34" s="5" t="s">
        <v>12</v>
      </c>
      <c r="D34" s="2" t="s">
        <v>52</v>
      </c>
    </row>
    <row r="35" spans="1:4" x14ac:dyDescent="0.3">
      <c r="A35" s="5" t="s">
        <v>54</v>
      </c>
      <c r="B35" s="13">
        <v>300000</v>
      </c>
      <c r="C35" s="5" t="s">
        <v>12</v>
      </c>
      <c r="D35" s="2" t="s">
        <v>52</v>
      </c>
    </row>
    <row r="36" spans="1:4" x14ac:dyDescent="0.3">
      <c r="A36" s="5" t="s">
        <v>55</v>
      </c>
      <c r="B36" s="13">
        <v>520000</v>
      </c>
      <c r="C36" s="5" t="s">
        <v>12</v>
      </c>
      <c r="D36" s="2" t="s">
        <v>52</v>
      </c>
    </row>
    <row r="37" spans="1:4" x14ac:dyDescent="0.3">
      <c r="A37" s="5" t="s">
        <v>56</v>
      </c>
      <c r="B37" s="13">
        <v>180000</v>
      </c>
      <c r="C37" s="5" t="s">
        <v>12</v>
      </c>
      <c r="D37" s="2" t="s">
        <v>52</v>
      </c>
    </row>
    <row r="38" spans="1:4" x14ac:dyDescent="0.3">
      <c r="A38" s="5" t="s">
        <v>57</v>
      </c>
      <c r="B38" s="14">
        <v>0.5</v>
      </c>
      <c r="C38" s="5"/>
      <c r="D38" s="2" t="s">
        <v>58</v>
      </c>
    </row>
    <row r="39" spans="1:4" x14ac:dyDescent="0.3">
      <c r="A39" s="5" t="s">
        <v>59</v>
      </c>
      <c r="B39" s="14">
        <v>1</v>
      </c>
      <c r="C39" s="5"/>
      <c r="D39" s="2" t="s">
        <v>60</v>
      </c>
    </row>
    <row r="40" spans="1:4" x14ac:dyDescent="0.3">
      <c r="A40" s="5" t="s">
        <v>61</v>
      </c>
      <c r="B40" s="7">
        <f>B36</f>
        <v>520000</v>
      </c>
      <c r="C40" s="5" t="s">
        <v>12</v>
      </c>
      <c r="D40" s="2" t="s">
        <v>62</v>
      </c>
    </row>
    <row r="41" spans="1:4" x14ac:dyDescent="0.3">
      <c r="A41" s="5" t="s">
        <v>63</v>
      </c>
      <c r="B41" s="13">
        <v>600000</v>
      </c>
      <c r="C41" s="5" t="s">
        <v>12</v>
      </c>
      <c r="D41" s="2" t="s">
        <v>64</v>
      </c>
    </row>
    <row r="42" spans="1:4" x14ac:dyDescent="0.3">
      <c r="A42" s="5" t="s">
        <v>65</v>
      </c>
      <c r="B42" s="13">
        <v>1200000</v>
      </c>
      <c r="C42" s="5" t="s">
        <v>12</v>
      </c>
      <c r="D42" s="2" t="s">
        <v>66</v>
      </c>
    </row>
    <row r="43" spans="1:4" x14ac:dyDescent="0.3">
      <c r="A43" s="5" t="s">
        <v>67</v>
      </c>
      <c r="B43" s="13">
        <v>1500000</v>
      </c>
      <c r="C43" s="5" t="s">
        <v>12</v>
      </c>
      <c r="D43" s="2" t="s">
        <v>68</v>
      </c>
    </row>
    <row r="44" spans="1:4" x14ac:dyDescent="0.3">
      <c r="A44" s="5" t="s">
        <v>69</v>
      </c>
      <c r="B44" s="14">
        <v>0.4</v>
      </c>
      <c r="C44" s="5"/>
      <c r="D44" s="2" t="s">
        <v>70</v>
      </c>
    </row>
    <row r="45" spans="1:4" x14ac:dyDescent="0.3">
      <c r="A45" s="5" t="s">
        <v>71</v>
      </c>
      <c r="B45" s="14">
        <v>1</v>
      </c>
      <c r="C45" s="5"/>
      <c r="D45" s="2" t="s">
        <v>72</v>
      </c>
    </row>
    <row r="46" spans="1:4" x14ac:dyDescent="0.3">
      <c r="A46" s="5" t="s">
        <v>73</v>
      </c>
      <c r="B46" s="15">
        <v>5</v>
      </c>
      <c r="C46" s="5" t="s">
        <v>74</v>
      </c>
      <c r="D46" s="2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3"/>
  <sheetViews>
    <sheetView showGridLines="0" workbookViewId="0">
      <pane xSplit="2" ySplit="9" topLeftCell="C10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2" width="7" customWidth="1"/>
    <col min="3" max="4" width="11" customWidth="1"/>
    <col min="5" max="5" width="15" customWidth="1"/>
    <col min="6" max="10" width="13" customWidth="1"/>
    <col min="11" max="11" width="15" customWidth="1"/>
    <col min="12" max="14" width="14" customWidth="1"/>
    <col min="15" max="16" width="13" customWidth="1"/>
  </cols>
  <sheetData>
    <row r="1" spans="1:16" ht="16.8" x14ac:dyDescent="0.3">
      <c r="A1" s="1" t="s">
        <v>76</v>
      </c>
    </row>
    <row r="3" spans="1:16" x14ac:dyDescent="0.3">
      <c r="A3" s="5" t="s">
        <v>77</v>
      </c>
      <c r="E3" s="16">
        <f>Supuestos!B8*Supuestos!B45</f>
        <v>33931050</v>
      </c>
    </row>
    <row r="4" spans="1:16" x14ac:dyDescent="0.3">
      <c r="A4" s="5" t="s">
        <v>78</v>
      </c>
      <c r="E4" s="17">
        <f>Supuestos!B12</f>
        <v>4.8675505653430484E-3</v>
      </c>
    </row>
    <row r="5" spans="1:16" x14ac:dyDescent="0.3">
      <c r="A5" s="5" t="s">
        <v>79</v>
      </c>
      <c r="E5" s="7">
        <f>PMT(E4,Supuestos!B14,-E3)</f>
        <v>653477.51689178986</v>
      </c>
    </row>
    <row r="6" spans="1:16" x14ac:dyDescent="0.3">
      <c r="A6" s="5" t="s">
        <v>80</v>
      </c>
      <c r="E6" s="7">
        <f>SUM(F11:F70)</f>
        <v>5277601.0135073792</v>
      </c>
    </row>
    <row r="7" spans="1:16" x14ac:dyDescent="0.3">
      <c r="A7" s="5" t="s">
        <v>81</v>
      </c>
      <c r="E7" s="7">
        <f>Supuestos!B13*E6</f>
        <v>2638800.5067536896</v>
      </c>
    </row>
    <row r="9" spans="1:16" ht="42" customHeight="1" x14ac:dyDescent="0.3">
      <c r="A9" s="18" t="s">
        <v>82</v>
      </c>
      <c r="B9" s="18" t="s">
        <v>83</v>
      </c>
      <c r="C9" s="18" t="s">
        <v>84</v>
      </c>
      <c r="D9" s="18" t="s">
        <v>85</v>
      </c>
      <c r="E9" s="18" t="s">
        <v>86</v>
      </c>
      <c r="F9" s="18" t="s">
        <v>87</v>
      </c>
      <c r="G9" s="18" t="s">
        <v>88</v>
      </c>
      <c r="H9" s="18" t="s">
        <v>89</v>
      </c>
      <c r="I9" s="18" t="s">
        <v>90</v>
      </c>
      <c r="J9" s="18" t="s">
        <v>91</v>
      </c>
      <c r="K9" s="18" t="s">
        <v>92</v>
      </c>
      <c r="L9" s="18" t="s">
        <v>93</v>
      </c>
      <c r="M9" s="18" t="s">
        <v>94</v>
      </c>
      <c r="N9" s="18" t="s">
        <v>95</v>
      </c>
      <c r="O9" s="18" t="s">
        <v>96</v>
      </c>
      <c r="P9" s="18" t="s">
        <v>97</v>
      </c>
    </row>
    <row r="10" spans="1:16" x14ac:dyDescent="0.3">
      <c r="A10" s="5">
        <v>0</v>
      </c>
      <c r="B10" s="5">
        <v>0</v>
      </c>
      <c r="D10" s="19">
        <v>1</v>
      </c>
      <c r="K10" s="7">
        <f>E3</f>
        <v>33931050</v>
      </c>
    </row>
    <row r="11" spans="1:16" x14ac:dyDescent="0.3">
      <c r="A11" s="5">
        <v>1</v>
      </c>
      <c r="B11" s="5">
        <f t="shared" ref="B11:B42" si="0">ROUNDUP(A11/12,0)</f>
        <v>1</v>
      </c>
      <c r="C11" s="20">
        <f>IF(A11=1,Supuestos!$B$18,IF(A11=2,Supuestos!$B$19,IF(A11=3,Supuestos!$B$20,IF(A11&lt;=15,(1+Supuestos!$B$21)^(1/12)-1,IF(A11&lt;=27,(1+Supuestos!$B$22)^(1/12)-1,(1+Supuestos!$B$23)^(1/12)-1)))))</f>
        <v>1.7000000000000001E-2</v>
      </c>
      <c r="D11" s="19">
        <f t="shared" ref="D11:D42" si="1">D10*(1+C11)</f>
        <v>1.0169999999999999</v>
      </c>
      <c r="E11" s="7">
        <f t="shared" ref="E11:E42" si="2">K10</f>
        <v>33931050</v>
      </c>
      <c r="F11" s="7">
        <f t="shared" ref="F11:F42" si="3">E11*$E$4</f>
        <v>165161.10161018325</v>
      </c>
      <c r="G11" s="7">
        <f t="shared" ref="G11:G42" si="4">H11-F11</f>
        <v>488316.41528160661</v>
      </c>
      <c r="H11" s="7">
        <f t="shared" ref="H11:H42" si="5">$E$5</f>
        <v>653477.51689178986</v>
      </c>
      <c r="I11" s="7">
        <f>MAX(0,MIN(H11,$E$7-H11*(Supuestos!$B$14-A11)))</f>
        <v>0</v>
      </c>
      <c r="J11" s="7">
        <f t="shared" ref="J11:J42" si="6">H11-I11</f>
        <v>653477.51689178986</v>
      </c>
      <c r="K11" s="7">
        <f t="shared" ref="K11:K42" si="7">E11-G11</f>
        <v>33442733.584718395</v>
      </c>
      <c r="L11" s="7">
        <f t="shared" ref="L11:L42" si="8">J11/D11</f>
        <v>642554.09723873145</v>
      </c>
      <c r="M11" s="7">
        <f t="shared" ref="M11:M42" si="9">F11/D11</f>
        <v>162400.29656851845</v>
      </c>
      <c r="N11" s="7">
        <f t="shared" ref="N11:N42" si="10">G11/D11</f>
        <v>480153.80067021301</v>
      </c>
      <c r="O11" s="7">
        <f t="shared" ref="O11:O42" si="11">I11/D11</f>
        <v>0</v>
      </c>
      <c r="P11" s="7">
        <f t="shared" ref="P11:P42" si="12">E11*(1/D10-1/D11)</f>
        <v>567185.69321533723</v>
      </c>
    </row>
    <row r="12" spans="1:16" x14ac:dyDescent="0.3">
      <c r="A12" s="5">
        <v>2</v>
      </c>
      <c r="B12" s="5">
        <f t="shared" si="0"/>
        <v>1</v>
      </c>
      <c r="C12" s="20">
        <f>IF(A12=1,Supuestos!$B$18,IF(A12=2,Supuestos!$B$19,IF(A12=3,Supuestos!$B$20,IF(A12&lt;=15,(1+Supuestos!$B$21)^(1/12)-1,IF(A12&lt;=27,(1+Supuestos!$B$22)^(1/12)-1,(1+Supuestos!$B$23)^(1/12)-1)))))</f>
        <v>1.6E-2</v>
      </c>
      <c r="D12" s="19">
        <f t="shared" si="1"/>
        <v>1.033272</v>
      </c>
      <c r="E12" s="7">
        <f t="shared" si="2"/>
        <v>33442733.584718395</v>
      </c>
      <c r="F12" s="7">
        <f t="shared" si="3"/>
        <v>162784.19676691297</v>
      </c>
      <c r="G12" s="7">
        <f t="shared" si="4"/>
        <v>490693.32012487692</v>
      </c>
      <c r="H12" s="7">
        <f t="shared" si="5"/>
        <v>653477.51689178986</v>
      </c>
      <c r="I12" s="7">
        <f>MAX(0,MIN(H12,$E$7-H12*(Supuestos!$B$14-A12)))</f>
        <v>0</v>
      </c>
      <c r="J12" s="7">
        <f t="shared" si="6"/>
        <v>653477.51689178986</v>
      </c>
      <c r="K12" s="7">
        <f t="shared" si="7"/>
        <v>32952040.264593519</v>
      </c>
      <c r="L12" s="7">
        <f t="shared" si="8"/>
        <v>632435.13507749152</v>
      </c>
      <c r="M12" s="7">
        <f t="shared" si="9"/>
        <v>157542.44455178594</v>
      </c>
      <c r="N12" s="7">
        <f t="shared" si="10"/>
        <v>474892.69052570564</v>
      </c>
      <c r="O12" s="7">
        <f t="shared" si="11"/>
        <v>0</v>
      </c>
      <c r="P12" s="7">
        <f t="shared" si="12"/>
        <v>517853.70875770907</v>
      </c>
    </row>
    <row r="13" spans="1:16" x14ac:dyDescent="0.3">
      <c r="A13" s="5">
        <v>3</v>
      </c>
      <c r="B13" s="5">
        <f t="shared" si="0"/>
        <v>1</v>
      </c>
      <c r="C13" s="20">
        <f>IF(A13=1,Supuestos!$B$18,IF(A13=2,Supuestos!$B$19,IF(A13=3,Supuestos!$B$20,IF(A13&lt;=15,(1+Supuestos!$B$21)^(1/12)-1,IF(A13&lt;=27,(1+Supuestos!$B$22)^(1/12)-1,(1+Supuestos!$B$23)^(1/12)-1)))))</f>
        <v>1.7999999999999999E-2</v>
      </c>
      <c r="D13" s="19">
        <f t="shared" si="1"/>
        <v>1.0518708960000001</v>
      </c>
      <c r="E13" s="7">
        <f t="shared" si="2"/>
        <v>32952040.264593519</v>
      </c>
      <c r="F13" s="7">
        <f t="shared" si="3"/>
        <v>160395.72221912909</v>
      </c>
      <c r="G13" s="7">
        <f t="shared" si="4"/>
        <v>493081.79467266076</v>
      </c>
      <c r="H13" s="7">
        <f t="shared" si="5"/>
        <v>653477.51689178986</v>
      </c>
      <c r="I13" s="7">
        <f>MAX(0,MIN(H13,$E$7-H13*(Supuestos!$B$14-A13)))</f>
        <v>0</v>
      </c>
      <c r="J13" s="7">
        <f t="shared" si="6"/>
        <v>653477.51689178986</v>
      </c>
      <c r="K13" s="7">
        <f t="shared" si="7"/>
        <v>32458958.469920859</v>
      </c>
      <c r="L13" s="7">
        <f t="shared" si="8"/>
        <v>621252.58848476573</v>
      </c>
      <c r="M13" s="7">
        <f t="shared" si="9"/>
        <v>152486.13002705332</v>
      </c>
      <c r="N13" s="7">
        <f t="shared" si="10"/>
        <v>468766.45845771243</v>
      </c>
      <c r="O13" s="7">
        <f t="shared" si="11"/>
        <v>0</v>
      </c>
      <c r="P13" s="7">
        <f t="shared" si="12"/>
        <v>563887.38106381381</v>
      </c>
    </row>
    <row r="14" spans="1:16" x14ac:dyDescent="0.3">
      <c r="A14" s="5">
        <v>4</v>
      </c>
      <c r="B14" s="5">
        <f t="shared" si="0"/>
        <v>1</v>
      </c>
      <c r="C14" s="20">
        <f>IF(A14=1,Supuestos!$B$18,IF(A14=2,Supuestos!$B$19,IF(A14=3,Supuestos!$B$20,IF(A14&lt;=15,(1+Supuestos!$B$21)^(1/12)-1,IF(A14&lt;=27,(1+Supuestos!$B$22)^(1/12)-1,(1+Supuestos!$B$23)^(1/12)-1)))))</f>
        <v>1.5661337047436552E-2</v>
      </c>
      <c r="D14" s="19">
        <f t="shared" si="1"/>
        <v>1.0683446006326451</v>
      </c>
      <c r="E14" s="7">
        <f t="shared" si="2"/>
        <v>32458958.469920859</v>
      </c>
      <c r="F14" s="7">
        <f t="shared" si="3"/>
        <v>157995.6216507098</v>
      </c>
      <c r="G14" s="7">
        <f t="shared" si="4"/>
        <v>495481.89524108008</v>
      </c>
      <c r="H14" s="7">
        <f t="shared" si="5"/>
        <v>653477.51689178986</v>
      </c>
      <c r="I14" s="7">
        <f>MAX(0,MIN(H14,$E$7-H14*(Supuestos!$B$14-A14)))</f>
        <v>0</v>
      </c>
      <c r="J14" s="7">
        <f t="shared" si="6"/>
        <v>653477.51689178986</v>
      </c>
      <c r="K14" s="7">
        <f t="shared" si="7"/>
        <v>31963476.574679777</v>
      </c>
      <c r="L14" s="7">
        <f t="shared" si="8"/>
        <v>611672.97190889332</v>
      </c>
      <c r="M14" s="7">
        <f t="shared" si="9"/>
        <v>147888.25773739017</v>
      </c>
      <c r="N14" s="7">
        <f t="shared" si="10"/>
        <v>463784.7141715032</v>
      </c>
      <c r="O14" s="7">
        <f t="shared" si="11"/>
        <v>0</v>
      </c>
      <c r="P14" s="7">
        <f t="shared" si="12"/>
        <v>475830.2597356147</v>
      </c>
    </row>
    <row r="15" spans="1:16" x14ac:dyDescent="0.3">
      <c r="A15" s="5">
        <v>5</v>
      </c>
      <c r="B15" s="5">
        <f t="shared" si="0"/>
        <v>1</v>
      </c>
      <c r="C15" s="20">
        <f>IF(A15=1,Supuestos!$B$18,IF(A15=2,Supuestos!$B$19,IF(A15=3,Supuestos!$B$20,IF(A15&lt;=15,(1+Supuestos!$B$21)^(1/12)-1,IF(A15&lt;=27,(1+Supuestos!$B$22)^(1/12)-1,(1+Supuestos!$B$23)^(1/12)-1)))))</f>
        <v>1.5661337047436552E-2</v>
      </c>
      <c r="D15" s="19">
        <f t="shared" si="1"/>
        <v>1.085076305505962</v>
      </c>
      <c r="E15" s="7">
        <f t="shared" si="2"/>
        <v>31963476.574679777</v>
      </c>
      <c r="F15" s="7">
        <f t="shared" si="3"/>
        <v>155583.83847141184</v>
      </c>
      <c r="G15" s="7">
        <f t="shared" si="4"/>
        <v>497893.67842037801</v>
      </c>
      <c r="H15" s="7">
        <f t="shared" si="5"/>
        <v>653477.51689178986</v>
      </c>
      <c r="I15" s="7">
        <f>MAX(0,MIN(H15,$E$7-H15*(Supuestos!$B$14-A15)))</f>
        <v>0</v>
      </c>
      <c r="J15" s="7">
        <f t="shared" si="6"/>
        <v>653477.51689178986</v>
      </c>
      <c r="K15" s="7">
        <f t="shared" si="7"/>
        <v>31465582.896259397</v>
      </c>
      <c r="L15" s="7">
        <f t="shared" si="8"/>
        <v>602241.07150425587</v>
      </c>
      <c r="M15" s="7">
        <f t="shared" si="9"/>
        <v>143385.15888876995</v>
      </c>
      <c r="N15" s="7">
        <f t="shared" si="10"/>
        <v>458855.9126154859</v>
      </c>
      <c r="O15" s="7">
        <f t="shared" si="11"/>
        <v>0</v>
      </c>
      <c r="P15" s="7">
        <f t="shared" si="12"/>
        <v>461341.54557036603</v>
      </c>
    </row>
    <row r="16" spans="1:16" x14ac:dyDescent="0.3">
      <c r="A16" s="5">
        <v>6</v>
      </c>
      <c r="B16" s="5">
        <f t="shared" si="0"/>
        <v>1</v>
      </c>
      <c r="C16" s="20">
        <f>IF(A16=1,Supuestos!$B$18,IF(A16=2,Supuestos!$B$19,IF(A16=3,Supuestos!$B$20,IF(A16&lt;=15,(1+Supuestos!$B$21)^(1/12)-1,IF(A16&lt;=27,(1+Supuestos!$B$22)^(1/12)-1,(1+Supuestos!$B$23)^(1/12)-1)))))</f>
        <v>1.5661337047436552E-2</v>
      </c>
      <c r="D16" s="19">
        <f t="shared" si="1"/>
        <v>1.1020700512486781</v>
      </c>
      <c r="E16" s="7">
        <f t="shared" si="2"/>
        <v>31465582.896259397</v>
      </c>
      <c r="F16" s="7">
        <f t="shared" si="3"/>
        <v>153160.31581553599</v>
      </c>
      <c r="G16" s="7">
        <f t="shared" si="4"/>
        <v>500317.2010762539</v>
      </c>
      <c r="H16" s="7">
        <f t="shared" si="5"/>
        <v>653477.51689178986</v>
      </c>
      <c r="I16" s="7">
        <f>MAX(0,MIN(H16,$E$7-H16*(Supuestos!$B$14-A16)))</f>
        <v>0</v>
      </c>
      <c r="J16" s="7">
        <f t="shared" si="6"/>
        <v>653477.51689178986</v>
      </c>
      <c r="K16" s="7">
        <f t="shared" si="7"/>
        <v>30965265.695183143</v>
      </c>
      <c r="L16" s="7">
        <f t="shared" si="8"/>
        <v>592954.60951087496</v>
      </c>
      <c r="M16" s="7">
        <f t="shared" si="9"/>
        <v>138975.11836203226</v>
      </c>
      <c r="N16" s="7">
        <f t="shared" si="10"/>
        <v>453979.49114884273</v>
      </c>
      <c r="O16" s="7">
        <f t="shared" si="11"/>
        <v>0</v>
      </c>
      <c r="P16" s="7">
        <f t="shared" si="12"/>
        <v>447152.24642392079</v>
      </c>
    </row>
    <row r="17" spans="1:16" x14ac:dyDescent="0.3">
      <c r="A17" s="5">
        <v>7</v>
      </c>
      <c r="B17" s="5">
        <f t="shared" si="0"/>
        <v>1</v>
      </c>
      <c r="C17" s="20">
        <f>IF(A17=1,Supuestos!$B$18,IF(A17=2,Supuestos!$B$19,IF(A17=3,Supuestos!$B$20,IF(A17&lt;=15,(1+Supuestos!$B$21)^(1/12)-1,IF(A17&lt;=27,(1+Supuestos!$B$22)^(1/12)-1,(1+Supuestos!$B$23)^(1/12)-1)))))</f>
        <v>1.5661337047436552E-2</v>
      </c>
      <c r="D17" s="19">
        <f t="shared" si="1"/>
        <v>1.1193299417711693</v>
      </c>
      <c r="E17" s="7">
        <f t="shared" si="2"/>
        <v>30965265.695183143</v>
      </c>
      <c r="F17" s="7">
        <f t="shared" si="3"/>
        <v>150724.99654058641</v>
      </c>
      <c r="G17" s="7">
        <f t="shared" si="4"/>
        <v>502752.52035120345</v>
      </c>
      <c r="H17" s="7">
        <f t="shared" si="5"/>
        <v>653477.51689178986</v>
      </c>
      <c r="I17" s="7">
        <f>MAX(0,MIN(H17,$E$7-H17*(Supuestos!$B$14-A17)))</f>
        <v>0</v>
      </c>
      <c r="J17" s="7">
        <f t="shared" si="6"/>
        <v>653477.51689178986</v>
      </c>
      <c r="K17" s="7">
        <f t="shared" si="7"/>
        <v>30462513.174831938</v>
      </c>
      <c r="L17" s="7">
        <f t="shared" si="8"/>
        <v>583811.34329147055</v>
      </c>
      <c r="M17" s="7">
        <f t="shared" si="9"/>
        <v>134656.4501813353</v>
      </c>
      <c r="N17" s="7">
        <f t="shared" si="10"/>
        <v>449154.89311013522</v>
      </c>
      <c r="O17" s="7">
        <f t="shared" si="11"/>
        <v>0</v>
      </c>
      <c r="P17" s="7">
        <f t="shared" si="12"/>
        <v>433256.93767140701</v>
      </c>
    </row>
    <row r="18" spans="1:16" x14ac:dyDescent="0.3">
      <c r="A18" s="5">
        <v>8</v>
      </c>
      <c r="B18" s="5">
        <f t="shared" si="0"/>
        <v>1</v>
      </c>
      <c r="C18" s="20">
        <f>IF(A18=1,Supuestos!$B$18,IF(A18=2,Supuestos!$B$19,IF(A18=3,Supuestos!$B$20,IF(A18&lt;=15,(1+Supuestos!$B$21)^(1/12)-1,IF(A18&lt;=27,(1+Supuestos!$B$22)^(1/12)-1,(1+Supuestos!$B$23)^(1/12)-1)))))</f>
        <v>1.5661337047436552E-2</v>
      </c>
      <c r="D18" s="19">
        <f t="shared" si="1"/>
        <v>1.136860145256535</v>
      </c>
      <c r="E18" s="7">
        <f t="shared" si="2"/>
        <v>30462513.174831938</v>
      </c>
      <c r="F18" s="7">
        <f t="shared" si="3"/>
        <v>148277.82322592326</v>
      </c>
      <c r="G18" s="7">
        <f t="shared" si="4"/>
        <v>505199.69366586662</v>
      </c>
      <c r="H18" s="7">
        <f t="shared" si="5"/>
        <v>653477.51689178986</v>
      </c>
      <c r="I18" s="7">
        <f>MAX(0,MIN(H18,$E$7-H18*(Supuestos!$B$14-A18)))</f>
        <v>0</v>
      </c>
      <c r="J18" s="7">
        <f t="shared" si="6"/>
        <v>653477.51689178986</v>
      </c>
      <c r="K18" s="7">
        <f t="shared" si="7"/>
        <v>29957313.481166072</v>
      </c>
      <c r="L18" s="7">
        <f t="shared" si="8"/>
        <v>574809.0647898746</v>
      </c>
      <c r="M18" s="7">
        <f t="shared" si="9"/>
        <v>130427.49703611436</v>
      </c>
      <c r="N18" s="7">
        <f t="shared" si="10"/>
        <v>444381.56775376026</v>
      </c>
      <c r="O18" s="7">
        <f t="shared" si="11"/>
        <v>0</v>
      </c>
      <c r="P18" s="7">
        <f t="shared" si="12"/>
        <v>419650.28691841307</v>
      </c>
    </row>
    <row r="19" spans="1:16" x14ac:dyDescent="0.3">
      <c r="A19" s="5">
        <v>9</v>
      </c>
      <c r="B19" s="5">
        <f t="shared" si="0"/>
        <v>1</v>
      </c>
      <c r="C19" s="20">
        <f>IF(A19=1,Supuestos!$B$18,IF(A19=2,Supuestos!$B$19,IF(A19=3,Supuestos!$B$20,IF(A19&lt;=15,(1+Supuestos!$B$21)^(1/12)-1,IF(A19&lt;=27,(1+Supuestos!$B$22)^(1/12)-1,(1+Supuestos!$B$23)^(1/12)-1)))))</f>
        <v>1.5661337047436552E-2</v>
      </c>
      <c r="D19" s="19">
        <f t="shared" si="1"/>
        <v>1.1546648951671952</v>
      </c>
      <c r="E19" s="7">
        <f t="shared" si="2"/>
        <v>29957313.481166072</v>
      </c>
      <c r="F19" s="7">
        <f t="shared" si="3"/>
        <v>145818.73817140883</v>
      </c>
      <c r="G19" s="7">
        <f t="shared" si="4"/>
        <v>507658.77872038103</v>
      </c>
      <c r="H19" s="7">
        <f t="shared" si="5"/>
        <v>653477.51689178986</v>
      </c>
      <c r="I19" s="7">
        <f>MAX(0,MIN(H19,$E$7-H19*(Supuestos!$B$14-A19)))</f>
        <v>0</v>
      </c>
      <c r="J19" s="7">
        <f t="shared" si="6"/>
        <v>653477.51689178986</v>
      </c>
      <c r="K19" s="7">
        <f t="shared" si="7"/>
        <v>29449654.70244569</v>
      </c>
      <c r="L19" s="7">
        <f t="shared" si="8"/>
        <v>565945.59999779542</v>
      </c>
      <c r="M19" s="7">
        <f t="shared" si="9"/>
        <v>126286.62981071604</v>
      </c>
      <c r="N19" s="7">
        <f t="shared" si="10"/>
        <v>439658.97018707939</v>
      </c>
      <c r="O19" s="7">
        <f t="shared" si="11"/>
        <v>0</v>
      </c>
      <c r="P19" s="7">
        <f t="shared" si="12"/>
        <v>406327.05248765659</v>
      </c>
    </row>
    <row r="20" spans="1:16" x14ac:dyDescent="0.3">
      <c r="A20" s="5">
        <v>10</v>
      </c>
      <c r="B20" s="5">
        <f t="shared" si="0"/>
        <v>1</v>
      </c>
      <c r="C20" s="20">
        <f>IF(A20=1,Supuestos!$B$18,IF(A20=2,Supuestos!$B$19,IF(A20=3,Supuestos!$B$20,IF(A20&lt;=15,(1+Supuestos!$B$21)^(1/12)-1,IF(A20&lt;=27,(1+Supuestos!$B$22)^(1/12)-1,(1+Supuestos!$B$23)^(1/12)-1)))))</f>
        <v>1.5661337047436552E-2</v>
      </c>
      <c r="D20" s="19">
        <f t="shared" si="1"/>
        <v>1.1727484912672517</v>
      </c>
      <c r="E20" s="7">
        <f t="shared" si="2"/>
        <v>29449654.70244569</v>
      </c>
      <c r="F20" s="7">
        <f t="shared" si="3"/>
        <v>143347.68339604707</v>
      </c>
      <c r="G20" s="7">
        <f t="shared" si="4"/>
        <v>510129.83349574276</v>
      </c>
      <c r="H20" s="7">
        <f t="shared" si="5"/>
        <v>653477.51689178986</v>
      </c>
      <c r="I20" s="7">
        <f>MAX(0,MIN(H20,$E$7-H20*(Supuestos!$B$14-A20)))</f>
        <v>0</v>
      </c>
      <c r="J20" s="7">
        <f t="shared" si="6"/>
        <v>653477.51689178986</v>
      </c>
      <c r="K20" s="7">
        <f t="shared" si="7"/>
        <v>28939524.868949946</v>
      </c>
      <c r="L20" s="7">
        <f t="shared" si="8"/>
        <v>557218.80842980521</v>
      </c>
      <c r="M20" s="7">
        <f t="shared" si="9"/>
        <v>122232.24712158705</v>
      </c>
      <c r="N20" s="7">
        <f t="shared" si="10"/>
        <v>434986.56130821817</v>
      </c>
      <c r="O20" s="7">
        <f t="shared" si="11"/>
        <v>0</v>
      </c>
      <c r="P20" s="7">
        <f t="shared" si="12"/>
        <v>393282.08192980924</v>
      </c>
    </row>
    <row r="21" spans="1:16" x14ac:dyDescent="0.3">
      <c r="A21" s="5">
        <v>11</v>
      </c>
      <c r="B21" s="5">
        <f t="shared" si="0"/>
        <v>1</v>
      </c>
      <c r="C21" s="20">
        <f>IF(A21=1,Supuestos!$B$18,IF(A21=2,Supuestos!$B$19,IF(A21=3,Supuestos!$B$20,IF(A21&lt;=15,(1+Supuestos!$B$21)^(1/12)-1,IF(A21&lt;=27,(1+Supuestos!$B$22)^(1/12)-1,(1+Supuestos!$B$23)^(1/12)-1)))))</f>
        <v>1.5661337047436552E-2</v>
      </c>
      <c r="D21" s="19">
        <f t="shared" si="1"/>
        <v>1.1911153006608608</v>
      </c>
      <c r="E21" s="7">
        <f t="shared" si="2"/>
        <v>28939524.868949946</v>
      </c>
      <c r="F21" s="7">
        <f t="shared" si="3"/>
        <v>140864.60063661652</v>
      </c>
      <c r="G21" s="7">
        <f t="shared" si="4"/>
        <v>512612.91625517333</v>
      </c>
      <c r="H21" s="7">
        <f t="shared" si="5"/>
        <v>653477.51689178986</v>
      </c>
      <c r="I21" s="7">
        <f>MAX(0,MIN(H21,$E$7-H21*(Supuestos!$B$14-A21)))</f>
        <v>0</v>
      </c>
      <c r="J21" s="7">
        <f t="shared" si="6"/>
        <v>653477.51689178986</v>
      </c>
      <c r="K21" s="7">
        <f t="shared" si="7"/>
        <v>28426911.952694774</v>
      </c>
      <c r="L21" s="7">
        <f t="shared" si="8"/>
        <v>548626.58260642283</v>
      </c>
      <c r="M21" s="7">
        <f t="shared" si="9"/>
        <v>118262.77486189733</v>
      </c>
      <c r="N21" s="7">
        <f t="shared" si="10"/>
        <v>430363.80774452543</v>
      </c>
      <c r="O21" s="7">
        <f t="shared" si="11"/>
        <v>0</v>
      </c>
      <c r="P21" s="7">
        <f t="shared" si="12"/>
        <v>380510.31055837631</v>
      </c>
    </row>
    <row r="22" spans="1:16" x14ac:dyDescent="0.3">
      <c r="A22" s="5">
        <v>12</v>
      </c>
      <c r="B22" s="5">
        <f t="shared" si="0"/>
        <v>1</v>
      </c>
      <c r="C22" s="20">
        <f>IF(A22=1,Supuestos!$B$18,IF(A22=2,Supuestos!$B$19,IF(A22=3,Supuestos!$B$20,IF(A22&lt;=15,(1+Supuestos!$B$21)^(1/12)-1,IF(A22&lt;=27,(1+Supuestos!$B$22)^(1/12)-1,(1+Supuestos!$B$23)^(1/12)-1)))))</f>
        <v>1.5661337047436552E-2</v>
      </c>
      <c r="D22" s="19">
        <f t="shared" si="1"/>
        <v>1.2097697588468692</v>
      </c>
      <c r="E22" s="7">
        <f t="shared" si="2"/>
        <v>28426911.952694774</v>
      </c>
      <c r="F22" s="7">
        <f t="shared" si="3"/>
        <v>138369.43134629651</v>
      </c>
      <c r="G22" s="7">
        <f t="shared" si="4"/>
        <v>515108.08554549335</v>
      </c>
      <c r="H22" s="7">
        <f t="shared" si="5"/>
        <v>653477.51689178986</v>
      </c>
      <c r="I22" s="7">
        <f>MAX(0,MIN(H22,$E$7-H22*(Supuestos!$B$14-A22)))</f>
        <v>0</v>
      </c>
      <c r="J22" s="7">
        <f t="shared" si="6"/>
        <v>653477.51689178986</v>
      </c>
      <c r="K22" s="7">
        <f t="shared" si="7"/>
        <v>27911803.867149279</v>
      </c>
      <c r="L22" s="7">
        <f t="shared" si="8"/>
        <v>540166.84754516662</v>
      </c>
      <c r="M22" s="7">
        <f t="shared" si="9"/>
        <v>114376.66575348003</v>
      </c>
      <c r="N22" s="7">
        <f t="shared" si="10"/>
        <v>425790.18179168663</v>
      </c>
      <c r="O22" s="7">
        <f t="shared" si="11"/>
        <v>0</v>
      </c>
      <c r="P22" s="7">
        <f t="shared" si="12"/>
        <v>368006.7600080478</v>
      </c>
    </row>
    <row r="23" spans="1:16" x14ac:dyDescent="0.3">
      <c r="A23" s="5">
        <v>13</v>
      </c>
      <c r="B23" s="5">
        <f t="shared" si="0"/>
        <v>2</v>
      </c>
      <c r="C23" s="20">
        <f>IF(A23=1,Supuestos!$B$18,IF(A23=2,Supuestos!$B$19,IF(A23=3,Supuestos!$B$20,IF(A23&lt;=15,(1+Supuestos!$B$21)^(1/12)-1,IF(A23&lt;=27,(1+Supuestos!$B$22)^(1/12)-1,(1+Supuestos!$B$23)^(1/12)-1)))))</f>
        <v>1.5661337047436552E-2</v>
      </c>
      <c r="D23" s="19">
        <f t="shared" si="1"/>
        <v>1.228716370789966</v>
      </c>
      <c r="E23" s="7">
        <f t="shared" si="2"/>
        <v>27911803.867149279</v>
      </c>
      <c r="F23" s="7">
        <f t="shared" si="3"/>
        <v>135862.11669328675</v>
      </c>
      <c r="G23" s="7">
        <f t="shared" si="4"/>
        <v>517615.40019850311</v>
      </c>
      <c r="H23" s="7">
        <f t="shared" si="5"/>
        <v>653477.51689178986</v>
      </c>
      <c r="I23" s="7">
        <f>MAX(0,MIN(H23,$E$7-H23*(Supuestos!$B$14-A23)))</f>
        <v>0</v>
      </c>
      <c r="J23" s="7">
        <f t="shared" si="6"/>
        <v>653477.51689178986</v>
      </c>
      <c r="K23" s="7">
        <f t="shared" si="7"/>
        <v>27394188.466950774</v>
      </c>
      <c r="L23" s="7">
        <f t="shared" si="8"/>
        <v>531837.56025945698</v>
      </c>
      <c r="M23" s="7">
        <f t="shared" si="9"/>
        <v>110572.39890597235</v>
      </c>
      <c r="N23" s="7">
        <f t="shared" si="10"/>
        <v>421265.16135348467</v>
      </c>
      <c r="O23" s="7">
        <f t="shared" si="11"/>
        <v>0</v>
      </c>
      <c r="P23" s="7">
        <f t="shared" si="12"/>
        <v>355766.53681624105</v>
      </c>
    </row>
    <row r="24" spans="1:16" x14ac:dyDescent="0.3">
      <c r="A24" s="5">
        <v>14</v>
      </c>
      <c r="B24" s="5">
        <f t="shared" si="0"/>
        <v>2</v>
      </c>
      <c r="C24" s="20">
        <f>IF(A24=1,Supuestos!$B$18,IF(A24=2,Supuestos!$B$19,IF(A24=3,Supuestos!$B$20,IF(A24&lt;=15,(1+Supuestos!$B$21)^(1/12)-1,IF(A24&lt;=27,(1+Supuestos!$B$22)^(1/12)-1,(1+Supuestos!$B$23)^(1/12)-1)))))</f>
        <v>1.5661337047436552E-2</v>
      </c>
      <c r="D24" s="19">
        <f t="shared" si="1"/>
        <v>1.2479597120086106</v>
      </c>
      <c r="E24" s="7">
        <f t="shared" si="2"/>
        <v>27394188.466950774</v>
      </c>
      <c r="F24" s="7">
        <f t="shared" si="3"/>
        <v>133342.59755942025</v>
      </c>
      <c r="G24" s="7">
        <f t="shared" si="4"/>
        <v>520134.91933236958</v>
      </c>
      <c r="H24" s="7">
        <f t="shared" si="5"/>
        <v>653477.51689178986</v>
      </c>
      <c r="I24" s="7">
        <f>MAX(0,MIN(H24,$E$7-H24*(Supuestos!$B$14-A24)))</f>
        <v>0</v>
      </c>
      <c r="J24" s="7">
        <f t="shared" si="6"/>
        <v>653477.51689178986</v>
      </c>
      <c r="K24" s="7">
        <f t="shared" si="7"/>
        <v>26874053.547618404</v>
      </c>
      <c r="L24" s="7">
        <f t="shared" si="8"/>
        <v>523636.70926524355</v>
      </c>
      <c r="M24" s="7">
        <f t="shared" si="9"/>
        <v>106848.47938304296</v>
      </c>
      <c r="N24" s="7">
        <f t="shared" si="10"/>
        <v>416788.22988220054</v>
      </c>
      <c r="O24" s="7">
        <f t="shared" si="11"/>
        <v>0</v>
      </c>
      <c r="P24" s="7">
        <f t="shared" si="12"/>
        <v>343784.83102742297</v>
      </c>
    </row>
    <row r="25" spans="1:16" x14ac:dyDescent="0.3">
      <c r="A25" s="5">
        <v>15</v>
      </c>
      <c r="B25" s="5">
        <f t="shared" si="0"/>
        <v>2</v>
      </c>
      <c r="C25" s="20">
        <f>IF(A25=1,Supuestos!$B$18,IF(A25=2,Supuestos!$B$19,IF(A25=3,Supuestos!$B$20,IF(A25&lt;=15,(1+Supuestos!$B$21)^(1/12)-1,IF(A25&lt;=27,(1+Supuestos!$B$22)^(1/12)-1,(1+Supuestos!$B$23)^(1/12)-1)))))</f>
        <v>1.5661337047436552E-2</v>
      </c>
      <c r="D25" s="19">
        <f t="shared" si="1"/>
        <v>1.2675044296799993</v>
      </c>
      <c r="E25" s="7">
        <f t="shared" si="2"/>
        <v>26874053.547618404</v>
      </c>
      <c r="F25" s="7">
        <f t="shared" si="3"/>
        <v>130810.81453876932</v>
      </c>
      <c r="G25" s="7">
        <f t="shared" si="4"/>
        <v>522666.70235302055</v>
      </c>
      <c r="H25" s="7">
        <f t="shared" si="5"/>
        <v>653477.51689178986</v>
      </c>
      <c r="I25" s="7">
        <f>MAX(0,MIN(H25,$E$7-H25*(Supuestos!$B$14-A25)))</f>
        <v>0</v>
      </c>
      <c r="J25" s="7">
        <f t="shared" si="6"/>
        <v>653477.51689178986</v>
      </c>
      <c r="K25" s="7">
        <f t="shared" si="7"/>
        <v>26351386.845265385</v>
      </c>
      <c r="L25" s="7">
        <f t="shared" si="8"/>
        <v>515562.3140952416</v>
      </c>
      <c r="M25" s="7">
        <f t="shared" si="9"/>
        <v>103203.4377755938</v>
      </c>
      <c r="N25" s="7">
        <f t="shared" si="10"/>
        <v>412358.87631964777</v>
      </c>
      <c r="O25" s="7">
        <f t="shared" si="11"/>
        <v>0</v>
      </c>
      <c r="P25" s="7">
        <f t="shared" si="12"/>
        <v>332056.91481991159</v>
      </c>
    </row>
    <row r="26" spans="1:16" x14ac:dyDescent="0.3">
      <c r="A26" s="5">
        <v>16</v>
      </c>
      <c r="B26" s="5">
        <f t="shared" si="0"/>
        <v>2</v>
      </c>
      <c r="C26" s="20">
        <f>IF(A26=1,Supuestos!$B$18,IF(A26=2,Supuestos!$B$19,IF(A26=3,Supuestos!$B$20,IF(A26&lt;=15,(1+Supuestos!$B$21)^(1/12)-1,IF(A26&lt;=27,(1+Supuestos!$B$22)^(1/12)-1,(1+Supuestos!$B$23)^(1/12)-1)))))</f>
        <v>1.1052724217629706E-2</v>
      </c>
      <c r="D26" s="19">
        <f t="shared" si="1"/>
        <v>1.2815138065858764</v>
      </c>
      <c r="E26" s="7">
        <f t="shared" si="2"/>
        <v>26351386.845265385</v>
      </c>
      <c r="F26" s="7">
        <f t="shared" si="3"/>
        <v>128266.70793624489</v>
      </c>
      <c r="G26" s="7">
        <f t="shared" si="4"/>
        <v>525210.80895554496</v>
      </c>
      <c r="H26" s="7">
        <f t="shared" si="5"/>
        <v>653477.51689178986</v>
      </c>
      <c r="I26" s="7">
        <f>MAX(0,MIN(H26,$E$7-H26*(Supuestos!$B$14-A26)))</f>
        <v>0</v>
      </c>
      <c r="J26" s="7">
        <f t="shared" si="6"/>
        <v>653477.51689178986</v>
      </c>
      <c r="K26" s="7">
        <f t="shared" si="7"/>
        <v>25826176.036309838</v>
      </c>
      <c r="L26" s="7">
        <f t="shared" si="8"/>
        <v>509926.23999326315</v>
      </c>
      <c r="M26" s="7">
        <f t="shared" si="9"/>
        <v>100089.99300441756</v>
      </c>
      <c r="N26" s="7">
        <f t="shared" si="10"/>
        <v>409836.24698884558</v>
      </c>
      <c r="O26" s="7">
        <f t="shared" si="11"/>
        <v>0</v>
      </c>
      <c r="P26" s="7">
        <f t="shared" si="12"/>
        <v>227273.87723487543</v>
      </c>
    </row>
    <row r="27" spans="1:16" x14ac:dyDescent="0.3">
      <c r="A27" s="5">
        <v>17</v>
      </c>
      <c r="B27" s="5">
        <f t="shared" si="0"/>
        <v>2</v>
      </c>
      <c r="C27" s="20">
        <f>IF(A27=1,Supuestos!$B$18,IF(A27=2,Supuestos!$B$19,IF(A27=3,Supuestos!$B$20,IF(A27&lt;=15,(1+Supuestos!$B$21)^(1/12)-1,IF(A27&lt;=27,(1+Supuestos!$B$22)^(1/12)-1,(1+Supuestos!$B$23)^(1/12)-1)))))</f>
        <v>1.1052724217629706E-2</v>
      </c>
      <c r="D27" s="19">
        <f t="shared" si="1"/>
        <v>1.2956780252711551</v>
      </c>
      <c r="E27" s="7">
        <f t="shared" si="2"/>
        <v>25826176.036309838</v>
      </c>
      <c r="F27" s="7">
        <f t="shared" si="3"/>
        <v>125710.21776618905</v>
      </c>
      <c r="G27" s="7">
        <f t="shared" si="4"/>
        <v>527767.29912560084</v>
      </c>
      <c r="H27" s="7">
        <f t="shared" si="5"/>
        <v>653477.51689178986</v>
      </c>
      <c r="I27" s="7">
        <f>MAX(0,MIN(H27,$E$7-H27*(Supuestos!$B$14-A27)))</f>
        <v>0</v>
      </c>
      <c r="J27" s="7">
        <f t="shared" si="6"/>
        <v>653477.51689178986</v>
      </c>
      <c r="K27" s="7">
        <f t="shared" si="7"/>
        <v>25298408.737184238</v>
      </c>
      <c r="L27" s="7">
        <f t="shared" si="8"/>
        <v>504351.77887271211</v>
      </c>
      <c r="M27" s="7">
        <f t="shared" si="9"/>
        <v>97022.728883497766</v>
      </c>
      <c r="N27" s="7">
        <f t="shared" si="10"/>
        <v>407329.04998921434</v>
      </c>
      <c r="O27" s="7">
        <f t="shared" si="11"/>
        <v>0</v>
      </c>
      <c r="P27" s="7">
        <f t="shared" si="12"/>
        <v>220309.05499501195</v>
      </c>
    </row>
    <row r="28" spans="1:16" x14ac:dyDescent="0.3">
      <c r="A28" s="5">
        <v>18</v>
      </c>
      <c r="B28" s="5">
        <f t="shared" si="0"/>
        <v>2</v>
      </c>
      <c r="C28" s="20">
        <f>IF(A28=1,Supuestos!$B$18,IF(A28=2,Supuestos!$B$19,IF(A28=3,Supuestos!$B$20,IF(A28&lt;=15,(1+Supuestos!$B$21)^(1/12)-1,IF(A28&lt;=27,(1+Supuestos!$B$22)^(1/12)-1,(1+Supuestos!$B$23)^(1/12)-1)))))</f>
        <v>1.1052724217629706E-2</v>
      </c>
      <c r="D28" s="19">
        <f t="shared" si="1"/>
        <v>1.3099987971593201</v>
      </c>
      <c r="E28" s="7">
        <f t="shared" si="2"/>
        <v>25298408.737184238</v>
      </c>
      <c r="F28" s="7">
        <f t="shared" si="3"/>
        <v>123141.28375096065</v>
      </c>
      <c r="G28" s="7">
        <f t="shared" si="4"/>
        <v>530336.23314082925</v>
      </c>
      <c r="H28" s="7">
        <f t="shared" si="5"/>
        <v>653477.51689178986</v>
      </c>
      <c r="I28" s="7">
        <f>MAX(0,MIN(H28,$E$7-H28*(Supuestos!$B$14-A28)))</f>
        <v>0</v>
      </c>
      <c r="J28" s="7">
        <f t="shared" si="6"/>
        <v>653477.51689178986</v>
      </c>
      <c r="K28" s="7">
        <f t="shared" si="7"/>
        <v>24768072.504043408</v>
      </c>
      <c r="L28" s="7">
        <f t="shared" si="8"/>
        <v>498838.25718682312</v>
      </c>
      <c r="M28" s="7">
        <f t="shared" si="9"/>
        <v>94001.066274249708</v>
      </c>
      <c r="N28" s="7">
        <f t="shared" si="10"/>
        <v>404837.19091257342</v>
      </c>
      <c r="O28" s="7">
        <f t="shared" si="11"/>
        <v>0</v>
      </c>
      <c r="P28" s="7">
        <f t="shared" si="12"/>
        <v>213447.77989361773</v>
      </c>
    </row>
    <row r="29" spans="1:16" x14ac:dyDescent="0.3">
      <c r="A29" s="5">
        <v>19</v>
      </c>
      <c r="B29" s="5">
        <f t="shared" si="0"/>
        <v>2</v>
      </c>
      <c r="C29" s="20">
        <f>IF(A29=1,Supuestos!$B$18,IF(A29=2,Supuestos!$B$19,IF(A29=3,Supuestos!$B$20,IF(A29&lt;=15,(1+Supuestos!$B$21)^(1/12)-1,IF(A29&lt;=27,(1+Supuestos!$B$22)^(1/12)-1,(1+Supuestos!$B$23)^(1/12)-1)))))</f>
        <v>1.1052724217629706E-2</v>
      </c>
      <c r="D29" s="19">
        <f t="shared" si="1"/>
        <v>1.3244778525897487</v>
      </c>
      <c r="E29" s="7">
        <f t="shared" si="2"/>
        <v>24768072.504043408</v>
      </c>
      <c r="F29" s="7">
        <f t="shared" si="3"/>
        <v>120559.8453195141</v>
      </c>
      <c r="G29" s="7">
        <f t="shared" si="4"/>
        <v>532917.67157227569</v>
      </c>
      <c r="H29" s="7">
        <f t="shared" si="5"/>
        <v>653477.51689178986</v>
      </c>
      <c r="I29" s="7">
        <f>MAX(0,MIN(H29,$E$7-H29*(Supuestos!$B$14-A29)))</f>
        <v>0</v>
      </c>
      <c r="J29" s="7">
        <f t="shared" si="6"/>
        <v>653477.51689178986</v>
      </c>
      <c r="K29" s="7">
        <f t="shared" si="7"/>
        <v>24235154.832471132</v>
      </c>
      <c r="L29" s="7">
        <f t="shared" si="8"/>
        <v>493385.00875197473</v>
      </c>
      <c r="M29" s="7">
        <f t="shared" si="9"/>
        <v>91024.432823684969</v>
      </c>
      <c r="N29" s="7">
        <f t="shared" si="10"/>
        <v>402360.57592828973</v>
      </c>
      <c r="O29" s="7">
        <f t="shared" si="11"/>
        <v>0</v>
      </c>
      <c r="P29" s="7">
        <f t="shared" si="12"/>
        <v>206688.75229146276</v>
      </c>
    </row>
    <row r="30" spans="1:16" x14ac:dyDescent="0.3">
      <c r="A30" s="5">
        <v>20</v>
      </c>
      <c r="B30" s="5">
        <f t="shared" si="0"/>
        <v>2</v>
      </c>
      <c r="C30" s="20">
        <f>IF(A30=1,Supuestos!$B$18,IF(A30=2,Supuestos!$B$19,IF(A30=3,Supuestos!$B$20,IF(A30&lt;=15,(1+Supuestos!$B$21)^(1/12)-1,IF(A30&lt;=27,(1+Supuestos!$B$22)^(1/12)-1,(1+Supuestos!$B$23)^(1/12)-1)))))</f>
        <v>1.1052724217629706E-2</v>
      </c>
      <c r="D30" s="19">
        <f t="shared" si="1"/>
        <v>1.3391169410267816</v>
      </c>
      <c r="E30" s="7">
        <f t="shared" si="2"/>
        <v>24235154.832471132</v>
      </c>
      <c r="F30" s="7">
        <f t="shared" si="3"/>
        <v>117965.84160597117</v>
      </c>
      <c r="G30" s="7">
        <f t="shared" si="4"/>
        <v>535511.67528581864</v>
      </c>
      <c r="H30" s="7">
        <f t="shared" si="5"/>
        <v>653477.51689178986</v>
      </c>
      <c r="I30" s="7">
        <f>MAX(0,MIN(H30,$E$7-H30*(Supuestos!$B$14-A30)))</f>
        <v>0</v>
      </c>
      <c r="J30" s="7">
        <f t="shared" si="6"/>
        <v>653477.51689178986</v>
      </c>
      <c r="K30" s="7">
        <f t="shared" si="7"/>
        <v>23699643.157185312</v>
      </c>
      <c r="L30" s="7">
        <f t="shared" si="8"/>
        <v>487991.37466719619</v>
      </c>
      <c r="M30" s="7">
        <f t="shared" si="9"/>
        <v>88092.262887451536</v>
      </c>
      <c r="N30" s="7">
        <f t="shared" si="10"/>
        <v>399899.11177974462</v>
      </c>
      <c r="O30" s="7">
        <f t="shared" si="11"/>
        <v>0</v>
      </c>
      <c r="P30" s="7">
        <f t="shared" si="12"/>
        <v>200030.68778255532</v>
      </c>
    </row>
    <row r="31" spans="1:16" x14ac:dyDescent="0.3">
      <c r="A31" s="5">
        <v>21</v>
      </c>
      <c r="B31" s="5">
        <f t="shared" si="0"/>
        <v>2</v>
      </c>
      <c r="C31" s="20">
        <f>IF(A31=1,Supuestos!$B$18,IF(A31=2,Supuestos!$B$19,IF(A31=3,Supuestos!$B$20,IF(A31&lt;=15,(1+Supuestos!$B$21)^(1/12)-1,IF(A31&lt;=27,(1+Supuestos!$B$22)^(1/12)-1,(1+Supuestos!$B$23)^(1/12)-1)))))</f>
        <v>1.1052724217629706E-2</v>
      </c>
      <c r="D31" s="19">
        <f t="shared" si="1"/>
        <v>1.3539178312711064</v>
      </c>
      <c r="E31" s="7">
        <f t="shared" si="2"/>
        <v>23699643.157185312</v>
      </c>
      <c r="F31" s="7">
        <f t="shared" si="3"/>
        <v>115359.21144818587</v>
      </c>
      <c r="G31" s="7">
        <f t="shared" si="4"/>
        <v>538118.30544360401</v>
      </c>
      <c r="H31" s="7">
        <f t="shared" si="5"/>
        <v>653477.51689178986</v>
      </c>
      <c r="I31" s="7">
        <f>MAX(0,MIN(H31,$E$7-H31*(Supuestos!$B$14-A31)))</f>
        <v>0</v>
      </c>
      <c r="J31" s="7">
        <f t="shared" si="6"/>
        <v>653477.51689178986</v>
      </c>
      <c r="K31" s="7">
        <f t="shared" si="7"/>
        <v>23161524.851741709</v>
      </c>
      <c r="L31" s="7">
        <f t="shared" si="8"/>
        <v>482656.70323455438</v>
      </c>
      <c r="M31" s="7">
        <f t="shared" si="9"/>
        <v>85203.997453732125</v>
      </c>
      <c r="N31" s="7">
        <f t="shared" si="10"/>
        <v>397452.70578082226</v>
      </c>
      <c r="O31" s="7">
        <f t="shared" si="11"/>
        <v>0</v>
      </c>
      <c r="P31" s="7">
        <f t="shared" si="12"/>
        <v>193472.31702139589</v>
      </c>
    </row>
    <row r="32" spans="1:16" x14ac:dyDescent="0.3">
      <c r="A32" s="5">
        <v>22</v>
      </c>
      <c r="B32" s="5">
        <f t="shared" si="0"/>
        <v>2</v>
      </c>
      <c r="C32" s="20">
        <f>IF(A32=1,Supuestos!$B$18,IF(A32=2,Supuestos!$B$19,IF(A32=3,Supuestos!$B$20,IF(A32&lt;=15,(1+Supuestos!$B$21)^(1/12)-1,IF(A32&lt;=27,(1+Supuestos!$B$22)^(1/12)-1,(1+Supuestos!$B$23)^(1/12)-1)))))</f>
        <v>1.1052724217629706E-2</v>
      </c>
      <c r="D32" s="19">
        <f t="shared" si="1"/>
        <v>1.3688823116734772</v>
      </c>
      <c r="E32" s="7">
        <f t="shared" si="2"/>
        <v>23161524.851741709</v>
      </c>
      <c r="F32" s="7">
        <f t="shared" si="3"/>
        <v>112739.89338630241</v>
      </c>
      <c r="G32" s="7">
        <f t="shared" si="4"/>
        <v>540737.62350548746</v>
      </c>
      <c r="H32" s="7">
        <f t="shared" si="5"/>
        <v>653477.51689178986</v>
      </c>
      <c r="I32" s="7">
        <f>MAX(0,MIN(H32,$E$7-H32*(Supuestos!$B$14-A32)))</f>
        <v>0</v>
      </c>
      <c r="J32" s="7">
        <f t="shared" si="6"/>
        <v>653477.51689178986</v>
      </c>
      <c r="K32" s="7">
        <f t="shared" si="7"/>
        <v>22620787.228236221</v>
      </c>
      <c r="L32" s="7">
        <f t="shared" si="8"/>
        <v>477380.34988041065</v>
      </c>
      <c r="M32" s="7">
        <f t="shared" si="9"/>
        <v>82359.084067991469</v>
      </c>
      <c r="N32" s="7">
        <f t="shared" si="10"/>
        <v>395021.26581241918</v>
      </c>
      <c r="O32" s="7">
        <f t="shared" si="11"/>
        <v>0</v>
      </c>
      <c r="P32" s="7">
        <f t="shared" si="12"/>
        <v>187012.38555206006</v>
      </c>
    </row>
    <row r="33" spans="1:16" x14ac:dyDescent="0.3">
      <c r="A33" s="5">
        <v>23</v>
      </c>
      <c r="B33" s="5">
        <f t="shared" si="0"/>
        <v>2</v>
      </c>
      <c r="C33" s="20">
        <f>IF(A33=1,Supuestos!$B$18,IF(A33=2,Supuestos!$B$19,IF(A33=3,Supuestos!$B$20,IF(A33&lt;=15,(1+Supuestos!$B$21)^(1/12)-1,IF(A33&lt;=27,(1+Supuestos!$B$22)^(1/12)-1,(1+Supuestos!$B$23)^(1/12)-1)))))</f>
        <v>1.1052724217629706E-2</v>
      </c>
      <c r="D33" s="19">
        <f t="shared" si="1"/>
        <v>1.3840121903507956</v>
      </c>
      <c r="E33" s="7">
        <f t="shared" si="2"/>
        <v>22620787.228236221</v>
      </c>
      <c r="F33" s="7">
        <f t="shared" si="3"/>
        <v>110107.82566130602</v>
      </c>
      <c r="G33" s="7">
        <f t="shared" si="4"/>
        <v>543369.69123048382</v>
      </c>
      <c r="H33" s="7">
        <f t="shared" si="5"/>
        <v>653477.51689178986</v>
      </c>
      <c r="I33" s="7">
        <f>MAX(0,MIN(H33,$E$7-H33*(Supuestos!$B$14-A33)))</f>
        <v>0</v>
      </c>
      <c r="J33" s="7">
        <f t="shared" si="6"/>
        <v>653477.51689178986</v>
      </c>
      <c r="K33" s="7">
        <f t="shared" si="7"/>
        <v>22077417.537005737</v>
      </c>
      <c r="L33" s="7">
        <f t="shared" si="8"/>
        <v>472161.67707753903</v>
      </c>
      <c r="M33" s="7">
        <f t="shared" si="9"/>
        <v>79556.976758562931</v>
      </c>
      <c r="N33" s="7">
        <f t="shared" si="10"/>
        <v>392604.70031897613</v>
      </c>
      <c r="O33" s="7">
        <f t="shared" si="11"/>
        <v>0</v>
      </c>
      <c r="P33" s="7">
        <f t="shared" si="12"/>
        <v>180649.65363925227</v>
      </c>
    </row>
    <row r="34" spans="1:16" x14ac:dyDescent="0.3">
      <c r="A34" s="5">
        <v>24</v>
      </c>
      <c r="B34" s="5">
        <f t="shared" si="0"/>
        <v>2</v>
      </c>
      <c r="C34" s="20">
        <f>IF(A34=1,Supuestos!$B$18,IF(A34=2,Supuestos!$B$19,IF(A34=3,Supuestos!$B$20,IF(A34&lt;=15,(1+Supuestos!$B$21)^(1/12)-1,IF(A34&lt;=27,(1+Supuestos!$B$22)^(1/12)-1,(1+Supuestos!$B$23)^(1/12)-1)))))</f>
        <v>1.1052724217629706E-2</v>
      </c>
      <c r="D34" s="19">
        <f t="shared" si="1"/>
        <v>1.3993092954045805</v>
      </c>
      <c r="E34" s="7">
        <f t="shared" si="2"/>
        <v>22077417.537005737</v>
      </c>
      <c r="F34" s="7">
        <f t="shared" si="3"/>
        <v>107462.94621356681</v>
      </c>
      <c r="G34" s="7">
        <f t="shared" si="4"/>
        <v>546014.57067822304</v>
      </c>
      <c r="H34" s="7">
        <f t="shared" si="5"/>
        <v>653477.51689178986</v>
      </c>
      <c r="I34" s="7">
        <f>MAX(0,MIN(H34,$E$7-H34*(Supuestos!$B$14-A34)))</f>
        <v>0</v>
      </c>
      <c r="J34" s="7">
        <f t="shared" si="6"/>
        <v>653477.51689178986</v>
      </c>
      <c r="K34" s="7">
        <f t="shared" si="7"/>
        <v>21531402.966327514</v>
      </c>
      <c r="L34" s="7">
        <f t="shared" si="8"/>
        <v>467000.0542680957</v>
      </c>
      <c r="M34" s="7">
        <f t="shared" si="9"/>
        <v>76797.135963065404</v>
      </c>
      <c r="N34" s="7">
        <f t="shared" si="10"/>
        <v>390202.91830503033</v>
      </c>
      <c r="O34" s="7">
        <f t="shared" si="11"/>
        <v>0</v>
      </c>
      <c r="P34" s="7">
        <f t="shared" si="12"/>
        <v>174382.89610120357</v>
      </c>
    </row>
    <row r="35" spans="1:16" x14ac:dyDescent="0.3">
      <c r="A35" s="5">
        <v>25</v>
      </c>
      <c r="B35" s="5">
        <f t="shared" si="0"/>
        <v>3</v>
      </c>
      <c r="C35" s="20">
        <f>IF(A35=1,Supuestos!$B$18,IF(A35=2,Supuestos!$B$19,IF(A35=3,Supuestos!$B$20,IF(A35&lt;=15,(1+Supuestos!$B$21)^(1/12)-1,IF(A35&lt;=27,(1+Supuestos!$B$22)^(1/12)-1,(1+Supuestos!$B$23)^(1/12)-1)))))</f>
        <v>1.1052724217629706E-2</v>
      </c>
      <c r="D35" s="19">
        <f t="shared" si="1"/>
        <v>1.4147754751418531</v>
      </c>
      <c r="E35" s="7">
        <f t="shared" si="2"/>
        <v>21531402.966327514</v>
      </c>
      <c r="F35" s="7">
        <f t="shared" si="3"/>
        <v>104805.19268137649</v>
      </c>
      <c r="G35" s="7">
        <f t="shared" si="4"/>
        <v>548672.32421041338</v>
      </c>
      <c r="H35" s="7">
        <f t="shared" si="5"/>
        <v>653477.51689178986</v>
      </c>
      <c r="I35" s="7">
        <f>MAX(0,MIN(H35,$E$7-H35*(Supuestos!$B$14-A35)))</f>
        <v>0</v>
      </c>
      <c r="J35" s="7">
        <f t="shared" si="6"/>
        <v>653477.51689178986</v>
      </c>
      <c r="K35" s="7">
        <f t="shared" si="7"/>
        <v>20982730.642117102</v>
      </c>
      <c r="L35" s="7">
        <f t="shared" si="8"/>
        <v>461894.85778742994</v>
      </c>
      <c r="M35" s="7">
        <f t="shared" si="9"/>
        <v>74079.028455641092</v>
      </c>
      <c r="N35" s="7">
        <f t="shared" si="10"/>
        <v>387815.82933178887</v>
      </c>
      <c r="O35" s="7">
        <f t="shared" si="11"/>
        <v>0</v>
      </c>
      <c r="P35" s="7">
        <f t="shared" si="12"/>
        <v>168210.90214446356</v>
      </c>
    </row>
    <row r="36" spans="1:16" x14ac:dyDescent="0.3">
      <c r="A36" s="5">
        <v>26</v>
      </c>
      <c r="B36" s="5">
        <f t="shared" si="0"/>
        <v>3</v>
      </c>
      <c r="C36" s="20">
        <f>IF(A36=1,Supuestos!$B$18,IF(A36=2,Supuestos!$B$19,IF(A36=3,Supuestos!$B$20,IF(A36&lt;=15,(1+Supuestos!$B$21)^(1/12)-1,IF(A36&lt;=27,(1+Supuestos!$B$22)^(1/12)-1,(1+Supuestos!$B$23)^(1/12)-1)))))</f>
        <v>1.1052724217629706E-2</v>
      </c>
      <c r="D36" s="19">
        <f t="shared" si="1"/>
        <v>1.4304125982984621</v>
      </c>
      <c r="E36" s="7">
        <f t="shared" si="2"/>
        <v>20982730.642117102</v>
      </c>
      <c r="F36" s="7">
        <f t="shared" si="3"/>
        <v>102134.50239947801</v>
      </c>
      <c r="G36" s="7">
        <f t="shared" si="4"/>
        <v>551343.01449231186</v>
      </c>
      <c r="H36" s="7">
        <f t="shared" si="5"/>
        <v>653477.51689178986</v>
      </c>
      <c r="I36" s="7">
        <f>MAX(0,MIN(H36,$E$7-H36*(Supuestos!$B$14-A36)))</f>
        <v>0</v>
      </c>
      <c r="J36" s="7">
        <f t="shared" si="6"/>
        <v>653477.51689178986</v>
      </c>
      <c r="K36" s="7">
        <f t="shared" si="7"/>
        <v>20431387.627624791</v>
      </c>
      <c r="L36" s="7">
        <f t="shared" si="8"/>
        <v>456845.47078872885</v>
      </c>
      <c r="M36" s="7">
        <f t="shared" si="9"/>
        <v>71402.127275005434</v>
      </c>
      <c r="N36" s="7">
        <f t="shared" si="10"/>
        <v>385443.34351372346</v>
      </c>
      <c r="O36" s="7">
        <f t="shared" si="11"/>
        <v>0</v>
      </c>
      <c r="P36" s="7">
        <f t="shared" si="12"/>
        <v>162132.47520051597</v>
      </c>
    </row>
    <row r="37" spans="1:16" x14ac:dyDescent="0.3">
      <c r="A37" s="5">
        <v>27</v>
      </c>
      <c r="B37" s="5">
        <f t="shared" si="0"/>
        <v>3</v>
      </c>
      <c r="C37" s="20">
        <f>IF(A37=1,Supuestos!$B$18,IF(A37=2,Supuestos!$B$19,IF(A37=3,Supuestos!$B$20,IF(A37&lt;=15,(1+Supuestos!$B$21)^(1/12)-1,IF(A37&lt;=27,(1+Supuestos!$B$22)^(1/12)-1,(1+Supuestos!$B$23)^(1/12)-1)))))</f>
        <v>1.1052724217629706E-2</v>
      </c>
      <c r="D37" s="19">
        <f t="shared" si="1"/>
        <v>1.4462225542648781</v>
      </c>
      <c r="E37" s="7">
        <f t="shared" si="2"/>
        <v>20431387.627624791</v>
      </c>
      <c r="F37" s="7">
        <f t="shared" si="3"/>
        <v>99450.812397588015</v>
      </c>
      <c r="G37" s="7">
        <f t="shared" si="4"/>
        <v>554026.70449420181</v>
      </c>
      <c r="H37" s="7">
        <f t="shared" si="5"/>
        <v>653477.51689178986</v>
      </c>
      <c r="I37" s="7">
        <f>MAX(0,MIN(H37,$E$7-H37*(Supuestos!$B$14-A37)))</f>
        <v>0</v>
      </c>
      <c r="J37" s="7">
        <f t="shared" si="6"/>
        <v>653477.51689178986</v>
      </c>
      <c r="K37" s="7">
        <f t="shared" si="7"/>
        <v>19877360.92313059</v>
      </c>
      <c r="L37" s="7">
        <f t="shared" si="8"/>
        <v>451851.2831684855</v>
      </c>
      <c r="M37" s="7">
        <f t="shared" si="9"/>
        <v>68765.911653299685</v>
      </c>
      <c r="N37" s="7">
        <f t="shared" si="10"/>
        <v>383085.37151518581</v>
      </c>
      <c r="O37" s="7">
        <f t="shared" si="11"/>
        <v>0</v>
      </c>
      <c r="P37" s="7">
        <f t="shared" si="12"/>
        <v>156146.4327642243</v>
      </c>
    </row>
    <row r="38" spans="1:16" x14ac:dyDescent="0.3">
      <c r="A38" s="5">
        <v>28</v>
      </c>
      <c r="B38" s="5">
        <f t="shared" si="0"/>
        <v>3</v>
      </c>
      <c r="C38" s="20">
        <f>IF(A38=1,Supuestos!$B$18,IF(A38=2,Supuestos!$B$19,IF(A38=3,Supuestos!$B$20,IF(A38&lt;=15,(1+Supuestos!$B$21)^(1/12)-1,IF(A38&lt;=27,(1+Supuestos!$B$22)^(1/12)-1,(1+Supuestos!$B$23)^(1/12)-1)))))</f>
        <v>1.1052724217629706E-2</v>
      </c>
      <c r="D38" s="19">
        <f t="shared" si="1"/>
        <v>1.4622072533144839</v>
      </c>
      <c r="E38" s="7">
        <f t="shared" si="2"/>
        <v>19877360.92313059</v>
      </c>
      <c r="F38" s="7">
        <f t="shared" si="3"/>
        <v>96754.059398912126</v>
      </c>
      <c r="G38" s="7">
        <f t="shared" si="4"/>
        <v>556723.45749287773</v>
      </c>
      <c r="H38" s="7">
        <f t="shared" si="5"/>
        <v>653477.51689178986</v>
      </c>
      <c r="I38" s="7">
        <f>MAX(0,MIN(H38,$E$7-H38*(Supuestos!$B$14-A38)))</f>
        <v>0</v>
      </c>
      <c r="J38" s="7">
        <f t="shared" si="6"/>
        <v>653477.51689178986</v>
      </c>
      <c r="K38" s="7">
        <f t="shared" si="7"/>
        <v>19320637.465637714</v>
      </c>
      <c r="L38" s="7">
        <f t="shared" si="8"/>
        <v>446911.69149278139</v>
      </c>
      <c r="M38" s="7">
        <f t="shared" si="9"/>
        <v>66169.866945737798</v>
      </c>
      <c r="N38" s="7">
        <f t="shared" si="10"/>
        <v>380741.82454704359</v>
      </c>
      <c r="O38" s="7">
        <f t="shared" si="11"/>
        <v>0</v>
      </c>
      <c r="P38" s="7">
        <f t="shared" si="12"/>
        <v>150251.60623410027</v>
      </c>
    </row>
    <row r="39" spans="1:16" x14ac:dyDescent="0.3">
      <c r="A39" s="5">
        <v>29</v>
      </c>
      <c r="B39" s="5">
        <f t="shared" si="0"/>
        <v>3</v>
      </c>
      <c r="C39" s="20">
        <f>IF(A39=1,Supuestos!$B$18,IF(A39=2,Supuestos!$B$19,IF(A39=3,Supuestos!$B$20,IF(A39&lt;=15,(1+Supuestos!$B$21)^(1/12)-1,IF(A39&lt;=27,(1+Supuestos!$B$22)^(1/12)-1,(1+Supuestos!$B$23)^(1/12)-1)))))</f>
        <v>1.1052724217629706E-2</v>
      </c>
      <c r="D39" s="19">
        <f t="shared" si="1"/>
        <v>1.4783686268343867</v>
      </c>
      <c r="E39" s="7">
        <f t="shared" si="2"/>
        <v>19320637.465637714</v>
      </c>
      <c r="F39" s="7">
        <f t="shared" si="3"/>
        <v>94044.179818652934</v>
      </c>
      <c r="G39" s="7">
        <f t="shared" si="4"/>
        <v>559433.33707313694</v>
      </c>
      <c r="H39" s="7">
        <f t="shared" si="5"/>
        <v>653477.51689178986</v>
      </c>
      <c r="I39" s="7">
        <f>MAX(0,MIN(H39,$E$7-H39*(Supuestos!$B$14-A39)))</f>
        <v>0</v>
      </c>
      <c r="J39" s="7">
        <f t="shared" si="6"/>
        <v>653477.51689178986</v>
      </c>
      <c r="K39" s="7">
        <f t="shared" si="7"/>
        <v>18761204.128564578</v>
      </c>
      <c r="L39" s="7">
        <f t="shared" si="8"/>
        <v>442026.09892437555</v>
      </c>
      <c r="M39" s="7">
        <f t="shared" si="9"/>
        <v>63613.484561038487</v>
      </c>
      <c r="N39" s="7">
        <f t="shared" si="10"/>
        <v>378412.61436333705</v>
      </c>
      <c r="O39" s="7">
        <f t="shared" si="11"/>
        <v>0</v>
      </c>
      <c r="P39" s="7">
        <f t="shared" si="12"/>
        <v>144446.84075429899</v>
      </c>
    </row>
    <row r="40" spans="1:16" x14ac:dyDescent="0.3">
      <c r="A40" s="5">
        <v>30</v>
      </c>
      <c r="B40" s="5">
        <f t="shared" si="0"/>
        <v>3</v>
      </c>
      <c r="C40" s="20">
        <f>IF(A40=1,Supuestos!$B$18,IF(A40=2,Supuestos!$B$19,IF(A40=3,Supuestos!$B$20,IF(A40&lt;=15,(1+Supuestos!$B$21)^(1/12)-1,IF(A40&lt;=27,(1+Supuestos!$B$22)^(1/12)-1,(1+Supuestos!$B$23)^(1/12)-1)))))</f>
        <v>1.1052724217629706E-2</v>
      </c>
      <c r="D40" s="19">
        <f t="shared" si="1"/>
        <v>1.4947086275587831</v>
      </c>
      <c r="E40" s="7">
        <f t="shared" si="2"/>
        <v>18761204.128564578</v>
      </c>
      <c r="F40" s="7">
        <f t="shared" si="3"/>
        <v>91321.109762510838</v>
      </c>
      <c r="G40" s="7">
        <f t="shared" si="4"/>
        <v>562156.40712927899</v>
      </c>
      <c r="H40" s="7">
        <f t="shared" si="5"/>
        <v>653477.51689178986</v>
      </c>
      <c r="I40" s="7">
        <f>MAX(0,MIN(H40,$E$7-H40*(Supuestos!$B$14-A40)))</f>
        <v>0</v>
      </c>
      <c r="J40" s="7">
        <f t="shared" si="6"/>
        <v>653477.51689178986</v>
      </c>
      <c r="K40" s="7">
        <f t="shared" si="7"/>
        <v>18199047.721435297</v>
      </c>
      <c r="L40" s="7">
        <f t="shared" si="8"/>
        <v>437193.9151505903</v>
      </c>
      <c r="M40" s="7">
        <f t="shared" si="9"/>
        <v>61096.261892633927</v>
      </c>
      <c r="N40" s="7">
        <f t="shared" si="10"/>
        <v>376097.65325795632</v>
      </c>
      <c r="O40" s="7">
        <f t="shared" si="11"/>
        <v>0</v>
      </c>
      <c r="P40" s="7">
        <f t="shared" si="12"/>
        <v>138730.9950584496</v>
      </c>
    </row>
    <row r="41" spans="1:16" x14ac:dyDescent="0.3">
      <c r="A41" s="5">
        <v>31</v>
      </c>
      <c r="B41" s="5">
        <f t="shared" si="0"/>
        <v>3</v>
      </c>
      <c r="C41" s="20">
        <f>IF(A41=1,Supuestos!$B$18,IF(A41=2,Supuestos!$B$19,IF(A41=3,Supuestos!$B$20,IF(A41&lt;=15,(1+Supuestos!$B$21)^(1/12)-1,IF(A41&lt;=27,(1+Supuestos!$B$22)^(1/12)-1,(1+Supuestos!$B$23)^(1/12)-1)))))</f>
        <v>1.1052724217629706E-2</v>
      </c>
      <c r="D41" s="19">
        <f t="shared" si="1"/>
        <v>1.5112292298049022</v>
      </c>
      <c r="E41" s="7">
        <f t="shared" si="2"/>
        <v>18199047.721435297</v>
      </c>
      <c r="F41" s="7">
        <f t="shared" si="3"/>
        <v>88584.785025177494</v>
      </c>
      <c r="G41" s="7">
        <f t="shared" si="4"/>
        <v>564892.73186661233</v>
      </c>
      <c r="H41" s="7">
        <f t="shared" si="5"/>
        <v>653477.51689178986</v>
      </c>
      <c r="I41" s="7">
        <f>MAX(0,MIN(H41,$E$7-H41*(Supuestos!$B$14-A41)))</f>
        <v>0</v>
      </c>
      <c r="J41" s="7">
        <f t="shared" si="6"/>
        <v>653477.51689178986</v>
      </c>
      <c r="K41" s="7">
        <f t="shared" si="7"/>
        <v>17634154.989568684</v>
      </c>
      <c r="L41" s="7">
        <f t="shared" si="8"/>
        <v>432414.55631198519</v>
      </c>
      <c r="M41" s="7">
        <f t="shared" si="9"/>
        <v>58617.702250646435</v>
      </c>
      <c r="N41" s="7">
        <f t="shared" si="10"/>
        <v>373796.8540613387</v>
      </c>
      <c r="O41" s="7">
        <f t="shared" si="11"/>
        <v>0</v>
      </c>
      <c r="P41" s="7">
        <f t="shared" si="12"/>
        <v>133102.94131518147</v>
      </c>
    </row>
    <row r="42" spans="1:16" x14ac:dyDescent="0.3">
      <c r="A42" s="5">
        <v>32</v>
      </c>
      <c r="B42" s="5">
        <f t="shared" si="0"/>
        <v>3</v>
      </c>
      <c r="C42" s="20">
        <f>IF(A42=1,Supuestos!$B$18,IF(A42=2,Supuestos!$B$19,IF(A42=3,Supuestos!$B$20,IF(A42&lt;=15,(1+Supuestos!$B$21)^(1/12)-1,IF(A42&lt;=27,(1+Supuestos!$B$22)^(1/12)-1,(1+Supuestos!$B$23)^(1/12)-1)))))</f>
        <v>1.1052724217629706E-2</v>
      </c>
      <c r="D42" s="19">
        <f t="shared" si="1"/>
        <v>1.5279324297115566</v>
      </c>
      <c r="E42" s="7">
        <f t="shared" si="2"/>
        <v>17634154.989568684</v>
      </c>
      <c r="F42" s="7">
        <f t="shared" si="3"/>
        <v>85835.141088821983</v>
      </c>
      <c r="G42" s="7">
        <f t="shared" si="4"/>
        <v>567642.37580296793</v>
      </c>
      <c r="H42" s="7">
        <f t="shared" si="5"/>
        <v>653477.51689178986</v>
      </c>
      <c r="I42" s="7">
        <f>MAX(0,MIN(H42,$E$7-H42*(Supuestos!$B$14-A42)))</f>
        <v>0</v>
      </c>
      <c r="J42" s="7">
        <f t="shared" si="6"/>
        <v>653477.51689178986</v>
      </c>
      <c r="K42" s="7">
        <f t="shared" si="7"/>
        <v>17066512.613765717</v>
      </c>
      <c r="L42" s="7">
        <f t="shared" si="8"/>
        <v>427687.44493181119</v>
      </c>
      <c r="M42" s="7">
        <f t="shared" si="9"/>
        <v>56177.314794624755</v>
      </c>
      <c r="N42" s="7">
        <f t="shared" si="10"/>
        <v>371510.1301371865</v>
      </c>
      <c r="O42" s="7">
        <f t="shared" si="11"/>
        <v>0</v>
      </c>
      <c r="P42" s="7">
        <f t="shared" si="12"/>
        <v>127561.56497537956</v>
      </c>
    </row>
    <row r="43" spans="1:16" x14ac:dyDescent="0.3">
      <c r="A43" s="5">
        <v>33</v>
      </c>
      <c r="B43" s="5">
        <f t="shared" ref="B43:B74" si="13">ROUNDUP(A43/12,0)</f>
        <v>3</v>
      </c>
      <c r="C43" s="20">
        <f>IF(A43=1,Supuestos!$B$18,IF(A43=2,Supuestos!$B$19,IF(A43=3,Supuestos!$B$20,IF(A43&lt;=15,(1+Supuestos!$B$21)^(1/12)-1,IF(A43&lt;=27,(1+Supuestos!$B$22)^(1/12)-1,(1+Supuestos!$B$23)^(1/12)-1)))))</f>
        <v>1.1052724217629706E-2</v>
      </c>
      <c r="D43" s="19">
        <f t="shared" ref="D43:D74" si="14">D42*(1+C43)</f>
        <v>1.5448202454803313</v>
      </c>
      <c r="E43" s="7">
        <f t="shared" ref="E43:E70" si="15">K42</f>
        <v>17066512.613765717</v>
      </c>
      <c r="F43" s="7">
        <f t="shared" ref="F43:F74" si="16">E43*$E$4</f>
        <v>83072.113121569579</v>
      </c>
      <c r="G43" s="7">
        <f t="shared" ref="G43:G74" si="17">H43-F43</f>
        <v>570405.40377022023</v>
      </c>
      <c r="H43" s="7">
        <f t="shared" ref="H43:H70" si="18">$E$5</f>
        <v>653477.51689178986</v>
      </c>
      <c r="I43" s="7">
        <f>MAX(0,MIN(H43,$E$7-H43*(Supuestos!$B$14-A43)))</f>
        <v>0</v>
      </c>
      <c r="J43" s="7">
        <f t="shared" ref="J43:J74" si="19">H43-I43</f>
        <v>653477.51689178986</v>
      </c>
      <c r="K43" s="7">
        <f t="shared" ref="K43:K70" si="20">E43-G43</f>
        <v>16496107.209995497</v>
      </c>
      <c r="L43" s="7">
        <f t="shared" ref="L43:L70" si="21">J43/D43</f>
        <v>423012.00984623551</v>
      </c>
      <c r="M43" s="7">
        <f t="shared" ref="M43:M70" si="22">F43/D43</f>
        <v>53774.614467031373</v>
      </c>
      <c r="N43" s="7">
        <f t="shared" ref="N43:N70" si="23">G43/D43</f>
        <v>369237.39537920413</v>
      </c>
      <c r="O43" s="7">
        <f t="shared" ref="O43:O70" si="24">I43/D43</f>
        <v>0</v>
      </c>
      <c r="P43" s="7">
        <f t="shared" ref="P43:P70" si="25">E43*(1/D42-1/D43)</f>
        <v>122105.76462117657</v>
      </c>
    </row>
    <row r="44" spans="1:16" x14ac:dyDescent="0.3">
      <c r="A44" s="5">
        <v>34</v>
      </c>
      <c r="B44" s="5">
        <f t="shared" si="13"/>
        <v>3</v>
      </c>
      <c r="C44" s="20">
        <f>IF(A44=1,Supuestos!$B$18,IF(A44=2,Supuestos!$B$19,IF(A44=3,Supuestos!$B$20,IF(A44&lt;=15,(1+Supuestos!$B$21)^(1/12)-1,IF(A44&lt;=27,(1+Supuestos!$B$22)^(1/12)-1,(1+Supuestos!$B$23)^(1/12)-1)))))</f>
        <v>1.1052724217629706E-2</v>
      </c>
      <c r="D44" s="19">
        <f t="shared" si="14"/>
        <v>1.5618947176194364</v>
      </c>
      <c r="E44" s="7">
        <f t="shared" si="15"/>
        <v>16496107.209995497</v>
      </c>
      <c r="F44" s="7">
        <f t="shared" si="16"/>
        <v>80295.635975973113</v>
      </c>
      <c r="G44" s="7">
        <f t="shared" si="17"/>
        <v>573181.88091581676</v>
      </c>
      <c r="H44" s="7">
        <f t="shared" si="18"/>
        <v>653477.51689178986</v>
      </c>
      <c r="I44" s="7">
        <f>MAX(0,MIN(H44,$E$7-H44*(Supuestos!$B$14-A44)))</f>
        <v>0</v>
      </c>
      <c r="J44" s="7">
        <f t="shared" si="19"/>
        <v>653477.51689178986</v>
      </c>
      <c r="K44" s="7">
        <f t="shared" si="20"/>
        <v>15922925.32907968</v>
      </c>
      <c r="L44" s="7">
        <f t="shared" si="21"/>
        <v>418387.68613532948</v>
      </c>
      <c r="M44" s="7">
        <f t="shared" si="22"/>
        <v>51409.121927472675</v>
      </c>
      <c r="N44" s="7">
        <f t="shared" si="23"/>
        <v>366978.56420785683</v>
      </c>
      <c r="O44" s="7">
        <f t="shared" si="24"/>
        <v>0</v>
      </c>
      <c r="P44" s="7">
        <f t="shared" si="25"/>
        <v>116734.45181659052</v>
      </c>
    </row>
    <row r="45" spans="1:16" x14ac:dyDescent="0.3">
      <c r="A45" s="5">
        <v>35</v>
      </c>
      <c r="B45" s="5">
        <f t="shared" si="13"/>
        <v>3</v>
      </c>
      <c r="C45" s="20">
        <f>IF(A45=1,Supuestos!$B$18,IF(A45=2,Supuestos!$B$19,IF(A45=3,Supuestos!$B$20,IF(A45&lt;=15,(1+Supuestos!$B$21)^(1/12)-1,IF(A45&lt;=27,(1+Supuestos!$B$22)^(1/12)-1,(1+Supuestos!$B$23)^(1/12)-1)))))</f>
        <v>1.1052724217629706E-2</v>
      </c>
      <c r="D45" s="19">
        <f t="shared" si="14"/>
        <v>1.5791579091902568</v>
      </c>
      <c r="E45" s="7">
        <f t="shared" si="15"/>
        <v>15922925.32907968</v>
      </c>
      <c r="F45" s="7">
        <f t="shared" si="16"/>
        <v>77505.644187476937</v>
      </c>
      <c r="G45" s="7">
        <f t="shared" si="17"/>
        <v>575971.8727043129</v>
      </c>
      <c r="H45" s="7">
        <f t="shared" si="18"/>
        <v>653477.51689178986</v>
      </c>
      <c r="I45" s="7">
        <f>MAX(0,MIN(H45,$E$7-H45*(Supuestos!$B$14-A45)))</f>
        <v>0</v>
      </c>
      <c r="J45" s="7">
        <f t="shared" si="19"/>
        <v>653477.51689178986</v>
      </c>
      <c r="K45" s="7">
        <f t="shared" si="20"/>
        <v>15346953.456375368</v>
      </c>
      <c r="L45" s="7">
        <f t="shared" si="21"/>
        <v>413813.91505481099</v>
      </c>
      <c r="M45" s="7">
        <f t="shared" si="22"/>
        <v>49080.363487663766</v>
      </c>
      <c r="N45" s="7">
        <f t="shared" si="23"/>
        <v>364733.55156714719</v>
      </c>
      <c r="O45" s="7">
        <f t="shared" si="24"/>
        <v>0</v>
      </c>
      <c r="P45" s="7">
        <f t="shared" si="25"/>
        <v>111446.55095985549</v>
      </c>
    </row>
    <row r="46" spans="1:16" x14ac:dyDescent="0.3">
      <c r="A46" s="5">
        <v>36</v>
      </c>
      <c r="B46" s="5">
        <f t="shared" si="13"/>
        <v>3</v>
      </c>
      <c r="C46" s="20">
        <f>IF(A46=1,Supuestos!$B$18,IF(A46=2,Supuestos!$B$19,IF(A46=3,Supuestos!$B$20,IF(A46&lt;=15,(1+Supuestos!$B$21)^(1/12)-1,IF(A46&lt;=27,(1+Supuestos!$B$22)^(1/12)-1,(1+Supuestos!$B$23)^(1/12)-1)))))</f>
        <v>1.1052724217629706E-2</v>
      </c>
      <c r="D46" s="19">
        <f t="shared" si="14"/>
        <v>1.5966119060566255</v>
      </c>
      <c r="E46" s="7">
        <f t="shared" si="15"/>
        <v>15346953.456375368</v>
      </c>
      <c r="F46" s="7">
        <f t="shared" si="16"/>
        <v>74702.071972873367</v>
      </c>
      <c r="G46" s="7">
        <f t="shared" si="17"/>
        <v>578775.44491891644</v>
      </c>
      <c r="H46" s="7">
        <f t="shared" si="18"/>
        <v>653477.51689178986</v>
      </c>
      <c r="I46" s="7">
        <f>MAX(0,MIN(H46,$E$7-H46*(Supuestos!$B$14-A46)))</f>
        <v>0</v>
      </c>
      <c r="J46" s="7">
        <f t="shared" si="19"/>
        <v>653477.51689178986</v>
      </c>
      <c r="K46" s="7">
        <f t="shared" si="20"/>
        <v>14768178.011456452</v>
      </c>
      <c r="L46" s="7">
        <f t="shared" si="21"/>
        <v>409290.14396853279</v>
      </c>
      <c r="M46" s="7">
        <f t="shared" si="22"/>
        <v>46787.87104711969</v>
      </c>
      <c r="N46" s="7">
        <f t="shared" si="23"/>
        <v>362502.27292141313</v>
      </c>
      <c r="O46" s="7">
        <f t="shared" si="24"/>
        <v>0</v>
      </c>
      <c r="P46" s="7">
        <f t="shared" si="25"/>
        <v>106240.99913739448</v>
      </c>
    </row>
    <row r="47" spans="1:16" x14ac:dyDescent="0.3">
      <c r="A47" s="5">
        <v>37</v>
      </c>
      <c r="B47" s="5">
        <f t="shared" si="13"/>
        <v>4</v>
      </c>
      <c r="C47" s="20">
        <f>IF(A47=1,Supuestos!$B$18,IF(A47=2,Supuestos!$B$19,IF(A47=3,Supuestos!$B$20,IF(A47&lt;=15,(1+Supuestos!$B$21)^(1/12)-1,IF(A47&lt;=27,(1+Supuestos!$B$22)^(1/12)-1,(1+Supuestos!$B$23)^(1/12)-1)))))</f>
        <v>1.1052724217629706E-2</v>
      </c>
      <c r="D47" s="19">
        <f t="shared" si="14"/>
        <v>1.6142588171368535</v>
      </c>
      <c r="E47" s="7">
        <f t="shared" si="15"/>
        <v>14768178.011456452</v>
      </c>
      <c r="F47" s="7">
        <f t="shared" si="16"/>
        <v>71884.853228751628</v>
      </c>
      <c r="G47" s="7">
        <f t="shared" si="17"/>
        <v>581592.66366303829</v>
      </c>
      <c r="H47" s="7">
        <f t="shared" si="18"/>
        <v>653477.51689178986</v>
      </c>
      <c r="I47" s="7">
        <f>MAX(0,MIN(H47,$E$7-H47*(Supuestos!$B$14-A47)))</f>
        <v>0</v>
      </c>
      <c r="J47" s="7">
        <f t="shared" si="19"/>
        <v>653477.51689178986</v>
      </c>
      <c r="K47" s="7">
        <f t="shared" si="20"/>
        <v>14186585.347793413</v>
      </c>
      <c r="L47" s="7">
        <f t="shared" si="21"/>
        <v>404815.82628170919</v>
      </c>
      <c r="M47" s="7">
        <f t="shared" si="22"/>
        <v>44531.182029565076</v>
      </c>
      <c r="N47" s="7">
        <f t="shared" si="23"/>
        <v>360284.64425214415</v>
      </c>
      <c r="O47" s="7">
        <f t="shared" si="24"/>
        <v>0</v>
      </c>
      <c r="P47" s="7">
        <f t="shared" si="25"/>
        <v>101116.74597943644</v>
      </c>
    </row>
    <row r="48" spans="1:16" x14ac:dyDescent="0.3">
      <c r="A48" s="5">
        <v>38</v>
      </c>
      <c r="B48" s="5">
        <f t="shared" si="13"/>
        <v>4</v>
      </c>
      <c r="C48" s="20">
        <f>IF(A48=1,Supuestos!$B$18,IF(A48=2,Supuestos!$B$19,IF(A48=3,Supuestos!$B$20,IF(A48&lt;=15,(1+Supuestos!$B$21)^(1/12)-1,IF(A48&lt;=27,(1+Supuestos!$B$22)^(1/12)-1,(1+Supuestos!$B$23)^(1/12)-1)))))</f>
        <v>1.1052724217629706E-2</v>
      </c>
      <c r="D48" s="19">
        <f t="shared" si="14"/>
        <v>1.6321007746585443</v>
      </c>
      <c r="E48" s="7">
        <f t="shared" si="15"/>
        <v>14186585.347793413</v>
      </c>
      <c r="F48" s="7">
        <f t="shared" si="16"/>
        <v>69053.921529939238</v>
      </c>
      <c r="G48" s="7">
        <f t="shared" si="17"/>
        <v>584423.59536185057</v>
      </c>
      <c r="H48" s="7">
        <f t="shared" si="18"/>
        <v>653477.51689178986</v>
      </c>
      <c r="I48" s="7">
        <f>MAX(0,MIN(H48,$E$7-H48*(Supuestos!$B$14-A48)))</f>
        <v>0</v>
      </c>
      <c r="J48" s="7">
        <f t="shared" si="19"/>
        <v>653477.51689178986</v>
      </c>
      <c r="K48" s="7">
        <f t="shared" si="20"/>
        <v>13602161.752431562</v>
      </c>
      <c r="L48" s="7">
        <f t="shared" si="21"/>
        <v>400390.42137487215</v>
      </c>
      <c r="M48" s="7">
        <f t="shared" si="22"/>
        <v>42309.839320054351</v>
      </c>
      <c r="N48" s="7">
        <f t="shared" si="23"/>
        <v>358080.58205481782</v>
      </c>
      <c r="O48" s="7">
        <f t="shared" si="24"/>
        <v>0</v>
      </c>
      <c r="P48" s="7">
        <f t="shared" si="25"/>
        <v>96072.753517215388</v>
      </c>
    </row>
    <row r="49" spans="1:16" x14ac:dyDescent="0.3">
      <c r="A49" s="5">
        <v>39</v>
      </c>
      <c r="B49" s="5">
        <f t="shared" si="13"/>
        <v>4</v>
      </c>
      <c r="C49" s="20">
        <f>IF(A49=1,Supuestos!$B$18,IF(A49=2,Supuestos!$B$19,IF(A49=3,Supuestos!$B$20,IF(A49&lt;=15,(1+Supuestos!$B$21)^(1/12)-1,IF(A49&lt;=27,(1+Supuestos!$B$22)^(1/12)-1,(1+Supuestos!$B$23)^(1/12)-1)))))</f>
        <v>1.1052724217629706E-2</v>
      </c>
      <c r="D49" s="19">
        <f t="shared" si="14"/>
        <v>1.6501399344162251</v>
      </c>
      <c r="E49" s="7">
        <f t="shared" si="15"/>
        <v>13602161.752431562</v>
      </c>
      <c r="F49" s="7">
        <f t="shared" si="16"/>
        <v>66209.210127935847</v>
      </c>
      <c r="G49" s="7">
        <f t="shared" si="17"/>
        <v>587268.30676385399</v>
      </c>
      <c r="H49" s="7">
        <f t="shared" si="18"/>
        <v>653477.51689178986</v>
      </c>
      <c r="I49" s="7">
        <f>MAX(0,MIN(H49,$E$7-H49*(Supuestos!$B$14-A49)))</f>
        <v>0</v>
      </c>
      <c r="J49" s="7">
        <f t="shared" si="19"/>
        <v>653477.51689178986</v>
      </c>
      <c r="K49" s="7">
        <f t="shared" si="20"/>
        <v>13014893.445667708</v>
      </c>
      <c r="L49" s="7">
        <f t="shared" si="21"/>
        <v>396013.39453855017</v>
      </c>
      <c r="M49" s="7">
        <f t="shared" si="22"/>
        <v>40123.39120279449</v>
      </c>
      <c r="N49" s="7">
        <f t="shared" si="23"/>
        <v>355890.00333575567</v>
      </c>
      <c r="O49" s="7">
        <f t="shared" si="24"/>
        <v>0</v>
      </c>
      <c r="P49" s="7">
        <f t="shared" si="25"/>
        <v>91107.996041804217</v>
      </c>
    </row>
    <row r="50" spans="1:16" x14ac:dyDescent="0.3">
      <c r="A50" s="5">
        <v>40</v>
      </c>
      <c r="B50" s="5">
        <f t="shared" si="13"/>
        <v>4</v>
      </c>
      <c r="C50" s="20">
        <f>IF(A50=1,Supuestos!$B$18,IF(A50=2,Supuestos!$B$19,IF(A50=3,Supuestos!$B$20,IF(A50&lt;=15,(1+Supuestos!$B$21)^(1/12)-1,IF(A50&lt;=27,(1+Supuestos!$B$22)^(1/12)-1,(1+Supuestos!$B$23)^(1/12)-1)))))</f>
        <v>1.1052724217629706E-2</v>
      </c>
      <c r="D50" s="19">
        <f t="shared" si="14"/>
        <v>1.6683784760318252</v>
      </c>
      <c r="E50" s="7">
        <f t="shared" si="15"/>
        <v>13014893.445667708</v>
      </c>
      <c r="F50" s="7">
        <f t="shared" si="16"/>
        <v>63350.651949339386</v>
      </c>
      <c r="G50" s="7">
        <f t="shared" si="17"/>
        <v>590126.86494245043</v>
      </c>
      <c r="H50" s="7">
        <f t="shared" si="18"/>
        <v>653477.51689178986</v>
      </c>
      <c r="I50" s="7">
        <f>MAX(0,MIN(H50,$E$7-H50*(Supuestos!$B$14-A50)))</f>
        <v>0</v>
      </c>
      <c r="J50" s="7">
        <f t="shared" si="19"/>
        <v>653477.51689178986</v>
      </c>
      <c r="K50" s="7">
        <f t="shared" si="20"/>
        <v>12424766.580725258</v>
      </c>
      <c r="L50" s="7">
        <f t="shared" si="21"/>
        <v>391684.21690866048</v>
      </c>
      <c r="M50" s="7">
        <f t="shared" si="22"/>
        <v>37971.391299662711</v>
      </c>
      <c r="N50" s="7">
        <f t="shared" si="23"/>
        <v>353712.82560899778</v>
      </c>
      <c r="O50" s="7">
        <f t="shared" si="24"/>
        <v>0</v>
      </c>
      <c r="P50" s="7">
        <f t="shared" si="25"/>
        <v>86221.459964494687</v>
      </c>
    </row>
    <row r="51" spans="1:16" x14ac:dyDescent="0.3">
      <c r="A51" s="5">
        <v>41</v>
      </c>
      <c r="B51" s="5">
        <f t="shared" si="13"/>
        <v>4</v>
      </c>
      <c r="C51" s="20">
        <f>IF(A51=1,Supuestos!$B$18,IF(A51=2,Supuestos!$B$19,IF(A51=3,Supuestos!$B$20,IF(A51&lt;=15,(1+Supuestos!$B$21)^(1/12)-1,IF(A51&lt;=27,(1+Supuestos!$B$22)^(1/12)-1,(1+Supuestos!$B$23)^(1/12)-1)))))</f>
        <v>1.1052724217629706E-2</v>
      </c>
      <c r="D51" s="19">
        <f t="shared" si="14"/>
        <v>1.6868186032180343</v>
      </c>
      <c r="E51" s="7">
        <f t="shared" si="15"/>
        <v>12424766.580725258</v>
      </c>
      <c r="F51" s="7">
        <f t="shared" si="16"/>
        <v>60478.179594264642</v>
      </c>
      <c r="G51" s="7">
        <f t="shared" si="17"/>
        <v>592999.33729752526</v>
      </c>
      <c r="H51" s="7">
        <f t="shared" si="18"/>
        <v>653477.51689178986</v>
      </c>
      <c r="I51" s="7">
        <f>MAX(0,MIN(H51,$E$7-H51*(Supuestos!$B$14-A51)))</f>
        <v>0</v>
      </c>
      <c r="J51" s="7">
        <f t="shared" si="19"/>
        <v>653477.51689178986</v>
      </c>
      <c r="K51" s="7">
        <f t="shared" si="20"/>
        <v>11831767.243427733</v>
      </c>
      <c r="L51" s="7">
        <f t="shared" si="21"/>
        <v>387402.36540260806</v>
      </c>
      <c r="M51" s="7">
        <f t="shared" si="22"/>
        <v>35853.39850941125</v>
      </c>
      <c r="N51" s="7">
        <f t="shared" si="23"/>
        <v>351548.9668931968</v>
      </c>
      <c r="O51" s="7">
        <f t="shared" si="24"/>
        <v>0</v>
      </c>
      <c r="P51" s="7">
        <f t="shared" si="25"/>
        <v>81412.143678752182</v>
      </c>
    </row>
    <row r="52" spans="1:16" x14ac:dyDescent="0.3">
      <c r="A52" s="5">
        <v>42</v>
      </c>
      <c r="B52" s="5">
        <f t="shared" si="13"/>
        <v>4</v>
      </c>
      <c r="C52" s="20">
        <f>IF(A52=1,Supuestos!$B$18,IF(A52=2,Supuestos!$B$19,IF(A52=3,Supuestos!$B$20,IF(A52&lt;=15,(1+Supuestos!$B$21)^(1/12)-1,IF(A52&lt;=27,(1+Supuestos!$B$22)^(1/12)-1,(1+Supuestos!$B$23)^(1/12)-1)))))</f>
        <v>1.1052724217629706E-2</v>
      </c>
      <c r="D52" s="19">
        <f t="shared" si="14"/>
        <v>1.7054625440445705</v>
      </c>
      <c r="E52" s="7">
        <f t="shared" si="15"/>
        <v>11831767.243427733</v>
      </c>
      <c r="F52" s="7">
        <f t="shared" si="16"/>
        <v>57591.725334754025</v>
      </c>
      <c r="G52" s="7">
        <f t="shared" si="17"/>
        <v>595885.79155703587</v>
      </c>
      <c r="H52" s="7">
        <f t="shared" si="18"/>
        <v>653477.51689178986</v>
      </c>
      <c r="I52" s="7">
        <f>MAX(0,MIN(H52,$E$7-H52*(Supuestos!$B$14-A52)))</f>
        <v>0</v>
      </c>
      <c r="J52" s="7">
        <f t="shared" si="19"/>
        <v>653477.51689178986</v>
      </c>
      <c r="K52" s="7">
        <f t="shared" si="20"/>
        <v>11235881.451870697</v>
      </c>
      <c r="L52" s="7">
        <f t="shared" si="21"/>
        <v>383167.32265608286</v>
      </c>
      <c r="M52" s="7">
        <f t="shared" si="22"/>
        <v>33768.976947551724</v>
      </c>
      <c r="N52" s="7">
        <f t="shared" si="23"/>
        <v>349398.34570853115</v>
      </c>
      <c r="O52" s="7">
        <f t="shared" si="24"/>
        <v>0</v>
      </c>
      <c r="P52" s="7">
        <f t="shared" si="25"/>
        <v>76679.057423716673</v>
      </c>
    </row>
    <row r="53" spans="1:16" x14ac:dyDescent="0.3">
      <c r="A53" s="5">
        <v>43</v>
      </c>
      <c r="B53" s="5">
        <f t="shared" si="13"/>
        <v>4</v>
      </c>
      <c r="C53" s="20">
        <f>IF(A53=1,Supuestos!$B$18,IF(A53=2,Supuestos!$B$19,IF(A53=3,Supuestos!$B$20,IF(A53&lt;=15,(1+Supuestos!$B$21)^(1/12)-1,IF(A53&lt;=27,(1+Supuestos!$B$22)^(1/12)-1,(1+Supuestos!$B$23)^(1/12)-1)))))</f>
        <v>1.1052724217629706E-2</v>
      </c>
      <c r="D53" s="19">
        <f t="shared" si="14"/>
        <v>1.7243125512073922</v>
      </c>
      <c r="E53" s="7">
        <f t="shared" si="15"/>
        <v>11235881.451870697</v>
      </c>
      <c r="F53" s="7">
        <f t="shared" si="16"/>
        <v>54691.221113180683</v>
      </c>
      <c r="G53" s="7">
        <f t="shared" si="17"/>
        <v>598786.29577860911</v>
      </c>
      <c r="H53" s="7">
        <f t="shared" si="18"/>
        <v>653477.51689178986</v>
      </c>
      <c r="I53" s="7">
        <f>MAX(0,MIN(H53,$E$7-H53*(Supuestos!$B$14-A53)))</f>
        <v>0</v>
      </c>
      <c r="J53" s="7">
        <f t="shared" si="19"/>
        <v>653477.51689178986</v>
      </c>
      <c r="K53" s="7">
        <f t="shared" si="20"/>
        <v>10637095.156092087</v>
      </c>
      <c r="L53" s="7">
        <f t="shared" si="21"/>
        <v>378978.57696054818</v>
      </c>
      <c r="M53" s="7">
        <f t="shared" si="22"/>
        <v>31717.695886911559</v>
      </c>
      <c r="N53" s="7">
        <f t="shared" si="23"/>
        <v>347260.88107363658</v>
      </c>
      <c r="O53" s="7">
        <f t="shared" si="24"/>
        <v>0</v>
      </c>
      <c r="P53" s="7">
        <f t="shared" si="25"/>
        <v>72021.223149219062</v>
      </c>
    </row>
    <row r="54" spans="1:16" x14ac:dyDescent="0.3">
      <c r="A54" s="5">
        <v>44</v>
      </c>
      <c r="B54" s="5">
        <f t="shared" si="13"/>
        <v>4</v>
      </c>
      <c r="C54" s="20">
        <f>IF(A54=1,Supuestos!$B$18,IF(A54=2,Supuestos!$B$19,IF(A54=3,Supuestos!$B$20,IF(A54&lt;=15,(1+Supuestos!$B$21)^(1/12)-1,IF(A54&lt;=27,(1+Supuestos!$B$22)^(1/12)-1,(1+Supuestos!$B$23)^(1/12)-1)))))</f>
        <v>1.1052724217629706E-2</v>
      </c>
      <c r="D54" s="19">
        <f t="shared" si="14"/>
        <v>1.743370902300885</v>
      </c>
      <c r="E54" s="7">
        <f t="shared" si="15"/>
        <v>10637095.156092087</v>
      </c>
      <c r="F54" s="7">
        <f t="shared" si="16"/>
        <v>51776.598540643841</v>
      </c>
      <c r="G54" s="7">
        <f t="shared" si="17"/>
        <v>601700.91835114604</v>
      </c>
      <c r="H54" s="7">
        <f t="shared" si="18"/>
        <v>653477.51689178986</v>
      </c>
      <c r="I54" s="7">
        <f>MAX(0,MIN(H54,$E$7-H54*(Supuestos!$B$14-A54)))</f>
        <v>0</v>
      </c>
      <c r="J54" s="7">
        <f t="shared" si="19"/>
        <v>653477.51689178986</v>
      </c>
      <c r="K54" s="7">
        <f t="shared" si="20"/>
        <v>10035394.237740941</v>
      </c>
      <c r="L54" s="7">
        <f t="shared" si="21"/>
        <v>374835.62220141233</v>
      </c>
      <c r="M54" s="7">
        <f t="shared" si="22"/>
        <v>29699.129698854995</v>
      </c>
      <c r="N54" s="7">
        <f t="shared" si="23"/>
        <v>345136.49250255735</v>
      </c>
      <c r="O54" s="7">
        <f t="shared" si="24"/>
        <v>0</v>
      </c>
      <c r="P54" s="7">
        <f t="shared" si="25"/>
        <v>67437.674382315075</v>
      </c>
    </row>
    <row r="55" spans="1:16" x14ac:dyDescent="0.3">
      <c r="A55" s="5">
        <v>45</v>
      </c>
      <c r="B55" s="5">
        <f t="shared" si="13"/>
        <v>4</v>
      </c>
      <c r="C55" s="20">
        <f>IF(A55=1,Supuestos!$B$18,IF(A55=2,Supuestos!$B$19,IF(A55=3,Supuestos!$B$20,IF(A55&lt;=15,(1+Supuestos!$B$21)^(1/12)-1,IF(A55&lt;=27,(1+Supuestos!$B$22)^(1/12)-1,(1+Supuestos!$B$23)^(1/12)-1)))))</f>
        <v>1.1052724217629706E-2</v>
      </c>
      <c r="D55" s="19">
        <f t="shared" si="14"/>
        <v>1.7626399000930568</v>
      </c>
      <c r="E55" s="7">
        <f t="shared" si="15"/>
        <v>10035394.237740941</v>
      </c>
      <c r="F55" s="7">
        <f t="shared" si="16"/>
        <v>48847.788895356287</v>
      </c>
      <c r="G55" s="7">
        <f t="shared" si="17"/>
        <v>604629.72799643362</v>
      </c>
      <c r="H55" s="7">
        <f t="shared" si="18"/>
        <v>653477.51689178986</v>
      </c>
      <c r="I55" s="7">
        <f>MAX(0,MIN(H55,$E$7-H55*(Supuestos!$B$14-A55)))</f>
        <v>0</v>
      </c>
      <c r="J55" s="7">
        <f t="shared" si="19"/>
        <v>653477.51689178986</v>
      </c>
      <c r="K55" s="7">
        <f t="shared" si="20"/>
        <v>9430764.5097445082</v>
      </c>
      <c r="L55" s="7">
        <f t="shared" si="21"/>
        <v>370737.95779687626</v>
      </c>
      <c r="M55" s="7">
        <f t="shared" si="22"/>
        <v>27712.857795161348</v>
      </c>
      <c r="N55" s="7">
        <f t="shared" si="23"/>
        <v>343025.10000171495</v>
      </c>
      <c r="O55" s="7">
        <f t="shared" si="24"/>
        <v>0</v>
      </c>
      <c r="P55" s="7">
        <f t="shared" si="25"/>
        <v>62927.456095306261</v>
      </c>
    </row>
    <row r="56" spans="1:16" x14ac:dyDescent="0.3">
      <c r="A56" s="5">
        <v>46</v>
      </c>
      <c r="B56" s="5">
        <f t="shared" si="13"/>
        <v>4</v>
      </c>
      <c r="C56" s="20">
        <f>IF(A56=1,Supuestos!$B$18,IF(A56=2,Supuestos!$B$19,IF(A56=3,Supuestos!$B$20,IF(A56&lt;=15,(1+Supuestos!$B$21)^(1/12)-1,IF(A56&lt;=27,(1+Supuestos!$B$22)^(1/12)-1,(1+Supuestos!$B$23)^(1/12)-1)))))</f>
        <v>1.1052724217629706E-2</v>
      </c>
      <c r="D56" s="19">
        <f t="shared" si="14"/>
        <v>1.7821218728037758</v>
      </c>
      <c r="E56" s="7">
        <f t="shared" si="15"/>
        <v>9430764.5097445082</v>
      </c>
      <c r="F56" s="7">
        <f t="shared" si="16"/>
        <v>45904.723121024035</v>
      </c>
      <c r="G56" s="7">
        <f t="shared" si="17"/>
        <v>607572.79377076577</v>
      </c>
      <c r="H56" s="7">
        <f t="shared" si="18"/>
        <v>653477.51689178986</v>
      </c>
      <c r="I56" s="7">
        <f>MAX(0,MIN(H56,$E$7-H56*(Supuestos!$B$14-A56)))</f>
        <v>0</v>
      </c>
      <c r="J56" s="7">
        <f t="shared" si="19"/>
        <v>653477.51689178986</v>
      </c>
      <c r="K56" s="7">
        <f t="shared" si="20"/>
        <v>8823191.7159737423</v>
      </c>
      <c r="L56" s="7">
        <f t="shared" si="21"/>
        <v>366685.08863744943</v>
      </c>
      <c r="M56" s="7">
        <f t="shared" si="22"/>
        <v>25758.464570553235</v>
      </c>
      <c r="N56" s="7">
        <f t="shared" si="23"/>
        <v>340926.62406689615</v>
      </c>
      <c r="O56" s="7">
        <f t="shared" si="24"/>
        <v>0</v>
      </c>
      <c r="P56" s="7">
        <f t="shared" si="25"/>
        <v>58489.62457523874</v>
      </c>
    </row>
    <row r="57" spans="1:16" x14ac:dyDescent="0.3">
      <c r="A57" s="5">
        <v>47</v>
      </c>
      <c r="B57" s="5">
        <f t="shared" si="13"/>
        <v>4</v>
      </c>
      <c r="C57" s="20">
        <f>IF(A57=1,Supuestos!$B$18,IF(A57=2,Supuestos!$B$19,IF(A57=3,Supuestos!$B$20,IF(A57&lt;=15,(1+Supuestos!$B$21)^(1/12)-1,IF(A57&lt;=27,(1+Supuestos!$B$22)^(1/12)-1,(1+Supuestos!$B$23)^(1/12)-1)))))</f>
        <v>1.1052724217629706E-2</v>
      </c>
      <c r="D57" s="19">
        <f t="shared" si="14"/>
        <v>1.8018191743860816</v>
      </c>
      <c r="E57" s="7">
        <f t="shared" si="15"/>
        <v>8823191.7159737423</v>
      </c>
      <c r="F57" s="7">
        <f t="shared" si="16"/>
        <v>42947.331825218091</v>
      </c>
      <c r="G57" s="7">
        <f t="shared" si="17"/>
        <v>610530.18506657181</v>
      </c>
      <c r="H57" s="7">
        <f t="shared" si="18"/>
        <v>653477.51689178986</v>
      </c>
      <c r="I57" s="7">
        <f>MAX(0,MIN(H57,$E$7-H57*(Supuestos!$B$14-A57)))</f>
        <v>0</v>
      </c>
      <c r="J57" s="7">
        <f t="shared" si="19"/>
        <v>653477.51689178986</v>
      </c>
      <c r="K57" s="7">
        <f t="shared" si="20"/>
        <v>8212661.5309071708</v>
      </c>
      <c r="L57" s="7">
        <f t="shared" si="21"/>
        <v>362676.52502612735</v>
      </c>
      <c r="M57" s="7">
        <f t="shared" si="22"/>
        <v>23835.539345867583</v>
      </c>
      <c r="N57" s="7">
        <f t="shared" si="23"/>
        <v>338840.98568025976</v>
      </c>
      <c r="O57" s="7">
        <f t="shared" si="24"/>
        <v>0</v>
      </c>
      <c r="P57" s="7">
        <f t="shared" si="25"/>
        <v>54123.247294867964</v>
      </c>
    </row>
    <row r="58" spans="1:16" x14ac:dyDescent="0.3">
      <c r="A58" s="5">
        <v>48</v>
      </c>
      <c r="B58" s="5">
        <f t="shared" si="13"/>
        <v>4</v>
      </c>
      <c r="C58" s="20">
        <f>IF(A58=1,Supuestos!$B$18,IF(A58=2,Supuestos!$B$19,IF(A58=3,Supuestos!$B$20,IF(A58&lt;=15,(1+Supuestos!$B$21)^(1/12)-1,IF(A58&lt;=27,(1+Supuestos!$B$22)^(1/12)-1,(1+Supuestos!$B$23)^(1/12)-1)))))</f>
        <v>1.1052724217629706E-2</v>
      </c>
      <c r="D58" s="19">
        <f t="shared" si="14"/>
        <v>1.8217341848106083</v>
      </c>
      <c r="E58" s="7">
        <f t="shared" si="15"/>
        <v>8212661.5309071708</v>
      </c>
      <c r="F58" s="7">
        <f t="shared" si="16"/>
        <v>39975.545277738303</v>
      </c>
      <c r="G58" s="7">
        <f t="shared" si="17"/>
        <v>613501.97161405161</v>
      </c>
      <c r="H58" s="7">
        <f t="shared" si="18"/>
        <v>653477.51689178986</v>
      </c>
      <c r="I58" s="7">
        <f>MAX(0,MIN(H58,$E$7-H58*(Supuestos!$B$14-A58)))</f>
        <v>0</v>
      </c>
      <c r="J58" s="7">
        <f t="shared" si="19"/>
        <v>653477.51689178986</v>
      </c>
      <c r="K58" s="7">
        <f t="shared" si="20"/>
        <v>7599159.5592931192</v>
      </c>
      <c r="L58" s="7">
        <f t="shared" si="21"/>
        <v>358711.78261922271</v>
      </c>
      <c r="M58" s="7">
        <f t="shared" si="22"/>
        <v>21943.676311862288</v>
      </c>
      <c r="N58" s="7">
        <f t="shared" si="23"/>
        <v>336768.10630736046</v>
      </c>
      <c r="O58" s="7">
        <f t="shared" si="24"/>
        <v>0</v>
      </c>
      <c r="P58" s="7">
        <f t="shared" si="25"/>
        <v>49827.402785051112</v>
      </c>
    </row>
    <row r="59" spans="1:16" x14ac:dyDescent="0.3">
      <c r="A59" s="5">
        <v>49</v>
      </c>
      <c r="B59" s="5">
        <f t="shared" si="13"/>
        <v>5</v>
      </c>
      <c r="C59" s="20">
        <f>IF(A59=1,Supuestos!$B$18,IF(A59=2,Supuestos!$B$19,IF(A59=3,Supuestos!$B$20,IF(A59&lt;=15,(1+Supuestos!$B$21)^(1/12)-1,IF(A59&lt;=27,(1+Supuestos!$B$22)^(1/12)-1,(1+Supuestos!$B$23)^(1/12)-1)))))</f>
        <v>1.1052724217629706E-2</v>
      </c>
      <c r="D59" s="19">
        <f t="shared" si="14"/>
        <v>1.8418693103531485</v>
      </c>
      <c r="E59" s="7">
        <f t="shared" si="15"/>
        <v>7599159.5592931192</v>
      </c>
      <c r="F59" s="7">
        <f t="shared" si="16"/>
        <v>36989.29340896925</v>
      </c>
      <c r="G59" s="7">
        <f t="shared" si="17"/>
        <v>616488.22348282055</v>
      </c>
      <c r="H59" s="7">
        <f t="shared" si="18"/>
        <v>653477.51689178986</v>
      </c>
      <c r="I59" s="7">
        <f>MAX(0,MIN(H59,$E$7-H59*(Supuestos!$B$14-A59)))</f>
        <v>0</v>
      </c>
      <c r="J59" s="7">
        <f t="shared" si="19"/>
        <v>653477.51689178986</v>
      </c>
      <c r="K59" s="7">
        <f t="shared" si="20"/>
        <v>6982671.335810299</v>
      </c>
      <c r="L59" s="7">
        <f t="shared" si="21"/>
        <v>354790.38236784353</v>
      </c>
      <c r="M59" s="7">
        <f t="shared" si="22"/>
        <v>20082.474473651528</v>
      </c>
      <c r="N59" s="7">
        <f t="shared" si="23"/>
        <v>334707.90789419197</v>
      </c>
      <c r="O59" s="7">
        <f t="shared" si="24"/>
        <v>0</v>
      </c>
      <c r="P59" s="7">
        <f t="shared" si="25"/>
        <v>45601.180508581958</v>
      </c>
    </row>
    <row r="60" spans="1:16" x14ac:dyDescent="0.3">
      <c r="A60" s="5">
        <v>50</v>
      </c>
      <c r="B60" s="5">
        <f t="shared" si="13"/>
        <v>5</v>
      </c>
      <c r="C60" s="20">
        <f>IF(A60=1,Supuestos!$B$18,IF(A60=2,Supuestos!$B$19,IF(A60=3,Supuestos!$B$20,IF(A60&lt;=15,(1+Supuestos!$B$21)^(1/12)-1,IF(A60&lt;=27,(1+Supuestos!$B$22)^(1/12)-1,(1+Supuestos!$B$23)^(1/12)-1)))))</f>
        <v>1.1052724217629706E-2</v>
      </c>
      <c r="D60" s="19">
        <f t="shared" si="14"/>
        <v>1.8622269838853978</v>
      </c>
      <c r="E60" s="7">
        <f t="shared" si="15"/>
        <v>6982671.335810299</v>
      </c>
      <c r="F60" s="7">
        <f t="shared" si="16"/>
        <v>33988.505808228118</v>
      </c>
      <c r="G60" s="7">
        <f t="shared" si="17"/>
        <v>619489.01108356169</v>
      </c>
      <c r="H60" s="7">
        <f t="shared" si="18"/>
        <v>653477.51689178986</v>
      </c>
      <c r="I60" s="7">
        <f>MAX(0,MIN(H60,$E$7-H60*(Supuestos!$B$14-A60)))</f>
        <v>0</v>
      </c>
      <c r="J60" s="7">
        <f t="shared" si="19"/>
        <v>653477.51689178986</v>
      </c>
      <c r="K60" s="7">
        <f t="shared" si="20"/>
        <v>6363182.3247267371</v>
      </c>
      <c r="L60" s="7">
        <f t="shared" si="21"/>
        <v>350911.85046001093</v>
      </c>
      <c r="M60" s="7">
        <f t="shared" si="22"/>
        <v>18251.5375957627</v>
      </c>
      <c r="N60" s="7">
        <f t="shared" si="23"/>
        <v>332660.31286424818</v>
      </c>
      <c r="O60" s="7">
        <f t="shared" si="24"/>
        <v>0</v>
      </c>
      <c r="P60" s="7">
        <f t="shared" si="25"/>
        <v>41443.680735435912</v>
      </c>
    </row>
    <row r="61" spans="1:16" x14ac:dyDescent="0.3">
      <c r="A61" s="5">
        <v>51</v>
      </c>
      <c r="B61" s="5">
        <f t="shared" si="13"/>
        <v>5</v>
      </c>
      <c r="C61" s="20">
        <f>IF(A61=1,Supuestos!$B$18,IF(A61=2,Supuestos!$B$19,IF(A61=3,Supuestos!$B$20,IF(A61&lt;=15,(1+Supuestos!$B$21)^(1/12)-1,IF(A61&lt;=27,(1+Supuestos!$B$22)^(1/12)-1,(1+Supuestos!$B$23)^(1/12)-1)))))</f>
        <v>1.1052724217629706E-2</v>
      </c>
      <c r="D61" s="19">
        <f t="shared" si="14"/>
        <v>1.8828096651689115</v>
      </c>
      <c r="E61" s="7">
        <f t="shared" si="15"/>
        <v>6363182.3247267371</v>
      </c>
      <c r="F61" s="7">
        <f t="shared" si="16"/>
        <v>30973.111722104521</v>
      </c>
      <c r="G61" s="7">
        <f t="shared" si="17"/>
        <v>622504.40516968537</v>
      </c>
      <c r="H61" s="7">
        <f t="shared" si="18"/>
        <v>653477.51689178986</v>
      </c>
      <c r="I61" s="7">
        <f>MAX(0,MIN(H61,$E$7-H61*(Supuestos!$B$14-A61)))</f>
        <v>0</v>
      </c>
      <c r="J61" s="7">
        <f t="shared" si="19"/>
        <v>653477.51689178986</v>
      </c>
      <c r="K61" s="7">
        <f t="shared" si="20"/>
        <v>5740677.9195570517</v>
      </c>
      <c r="L61" s="7">
        <f t="shared" si="21"/>
        <v>347075.71826340968</v>
      </c>
      <c r="M61" s="7">
        <f t="shared" si="22"/>
        <v>16450.474147808163</v>
      </c>
      <c r="N61" s="7">
        <f t="shared" si="23"/>
        <v>330625.24411560153</v>
      </c>
      <c r="O61" s="7">
        <f t="shared" si="24"/>
        <v>0</v>
      </c>
      <c r="P61" s="7">
        <f t="shared" si="25"/>
        <v>37354.014419397361</v>
      </c>
    </row>
    <row r="62" spans="1:16" x14ac:dyDescent="0.3">
      <c r="A62" s="5">
        <v>52</v>
      </c>
      <c r="B62" s="5">
        <f t="shared" si="13"/>
        <v>5</v>
      </c>
      <c r="C62" s="20">
        <f>IF(A62=1,Supuestos!$B$18,IF(A62=2,Supuestos!$B$19,IF(A62=3,Supuestos!$B$20,IF(A62&lt;=15,(1+Supuestos!$B$21)^(1/12)-1,IF(A62&lt;=27,(1+Supuestos!$B$22)^(1/12)-1,(1+Supuestos!$B$23)^(1/12)-1)))))</f>
        <v>1.1052724217629706E-2</v>
      </c>
      <c r="D62" s="19">
        <f t="shared" si="14"/>
        <v>1.9036198411523111</v>
      </c>
      <c r="E62" s="7">
        <f t="shared" si="15"/>
        <v>5740677.9195570517</v>
      </c>
      <c r="F62" s="7">
        <f t="shared" si="16"/>
        <v>27943.040052792283</v>
      </c>
      <c r="G62" s="7">
        <f t="shared" si="17"/>
        <v>625534.47683899757</v>
      </c>
      <c r="H62" s="7">
        <f t="shared" si="18"/>
        <v>653477.51689178986</v>
      </c>
      <c r="I62" s="7">
        <f>MAX(0,MIN(H62,$E$7-H62*(Supuestos!$B$14-A62)))</f>
        <v>0</v>
      </c>
      <c r="J62" s="7">
        <f t="shared" si="19"/>
        <v>653477.51689178986</v>
      </c>
      <c r="K62" s="7">
        <f t="shared" si="20"/>
        <v>5115143.4427180542</v>
      </c>
      <c r="L62" s="7">
        <f t="shared" si="21"/>
        <v>343281.52226876497</v>
      </c>
      <c r="M62" s="7">
        <f t="shared" si="22"/>
        <v>14678.897250764956</v>
      </c>
      <c r="N62" s="7">
        <f t="shared" si="23"/>
        <v>328602.62501799996</v>
      </c>
      <c r="O62" s="7">
        <f t="shared" si="24"/>
        <v>0</v>
      </c>
      <c r="P62" s="7">
        <f t="shared" si="25"/>
        <v>33331.303076086646</v>
      </c>
    </row>
    <row r="63" spans="1:16" x14ac:dyDescent="0.3">
      <c r="A63" s="5">
        <v>53</v>
      </c>
      <c r="B63" s="5">
        <f t="shared" si="13"/>
        <v>5</v>
      </c>
      <c r="C63" s="20">
        <f>IF(A63=1,Supuestos!$B$18,IF(A63=2,Supuestos!$B$19,IF(A63=3,Supuestos!$B$20,IF(A63&lt;=15,(1+Supuestos!$B$21)^(1/12)-1,IF(A63&lt;=27,(1+Supuestos!$B$22)^(1/12)-1,(1+Supuestos!$B$23)^(1/12)-1)))))</f>
        <v>1.1052724217629706E-2</v>
      </c>
      <c r="D63" s="19">
        <f t="shared" si="14"/>
        <v>1.9246600262717757</v>
      </c>
      <c r="E63" s="7">
        <f t="shared" si="15"/>
        <v>5115143.4427180542</v>
      </c>
      <c r="F63" s="7">
        <f t="shared" si="16"/>
        <v>24898.21935641305</v>
      </c>
      <c r="G63" s="7">
        <f t="shared" si="17"/>
        <v>628579.29753537686</v>
      </c>
      <c r="H63" s="7">
        <f t="shared" si="18"/>
        <v>653477.51689178986</v>
      </c>
      <c r="I63" s="7">
        <f>MAX(0,MIN(H63,$E$7-H63*(Supuestos!$B$14-A63)))</f>
        <v>0</v>
      </c>
      <c r="J63" s="7">
        <f t="shared" si="19"/>
        <v>653477.51689178986</v>
      </c>
      <c r="K63" s="7">
        <f t="shared" si="20"/>
        <v>4486564.1451826775</v>
      </c>
      <c r="L63" s="7">
        <f t="shared" si="21"/>
        <v>339528.80403383728</v>
      </c>
      <c r="M63" s="7">
        <f t="shared" si="22"/>
        <v>12936.424623855748</v>
      </c>
      <c r="N63" s="7">
        <f t="shared" si="23"/>
        <v>326592.37940998154</v>
      </c>
      <c r="O63" s="7">
        <f t="shared" si="24"/>
        <v>0</v>
      </c>
      <c r="P63" s="7">
        <f t="shared" si="25"/>
        <v>29374.678662337788</v>
      </c>
    </row>
    <row r="64" spans="1:16" x14ac:dyDescent="0.3">
      <c r="A64" s="5">
        <v>54</v>
      </c>
      <c r="B64" s="5">
        <f t="shared" si="13"/>
        <v>5</v>
      </c>
      <c r="C64" s="20">
        <f>IF(A64=1,Supuestos!$B$18,IF(A64=2,Supuestos!$B$19,IF(A64=3,Supuestos!$B$20,IF(A64&lt;=15,(1+Supuestos!$B$21)^(1/12)-1,IF(A64&lt;=27,(1+Supuestos!$B$22)^(1/12)-1,(1+Supuestos!$B$23)^(1/12)-1)))))</f>
        <v>1.1052724217629706E-2</v>
      </c>
      <c r="D64" s="19">
        <f t="shared" si="14"/>
        <v>1.9459327627548535</v>
      </c>
      <c r="E64" s="7">
        <f t="shared" si="15"/>
        <v>4486564.1451826775</v>
      </c>
      <c r="F64" s="7">
        <f t="shared" si="16"/>
        <v>21838.577841331793</v>
      </c>
      <c r="G64" s="7">
        <f t="shared" si="17"/>
        <v>631638.93905045802</v>
      </c>
      <c r="H64" s="7">
        <f t="shared" si="18"/>
        <v>653477.51689178986</v>
      </c>
      <c r="I64" s="7">
        <f>MAX(0,MIN(H64,$E$7-H64*(Supuestos!$B$14-A64)))</f>
        <v>0</v>
      </c>
      <c r="J64" s="7">
        <f t="shared" si="19"/>
        <v>653477.51689178986</v>
      </c>
      <c r="K64" s="7">
        <f t="shared" si="20"/>
        <v>3854925.2061322196</v>
      </c>
      <c r="L64" s="7">
        <f t="shared" si="21"/>
        <v>335817.11012803082</v>
      </c>
      <c r="M64" s="7">
        <f t="shared" si="22"/>
        <v>11222.678532024383</v>
      </c>
      <c r="N64" s="7">
        <f t="shared" si="23"/>
        <v>324594.43159600638</v>
      </c>
      <c r="O64" s="7">
        <f t="shared" si="24"/>
        <v>0</v>
      </c>
      <c r="P64" s="7">
        <f t="shared" si="25"/>
        <v>25483.283456930149</v>
      </c>
    </row>
    <row r="65" spans="1:16" x14ac:dyDescent="0.3">
      <c r="A65" s="5">
        <v>55</v>
      </c>
      <c r="B65" s="5">
        <f t="shared" si="13"/>
        <v>5</v>
      </c>
      <c r="C65" s="20">
        <f>IF(A65=1,Supuestos!$B$18,IF(A65=2,Supuestos!$B$19,IF(A65=3,Supuestos!$B$20,IF(A65&lt;=15,(1+Supuestos!$B$21)^(1/12)-1,IF(A65&lt;=27,(1+Supuestos!$B$22)^(1/12)-1,(1+Supuestos!$B$23)^(1/12)-1)))))</f>
        <v>1.1052724217629706E-2</v>
      </c>
      <c r="D65" s="19">
        <f t="shared" si="14"/>
        <v>1.9674406209276332</v>
      </c>
      <c r="E65" s="7">
        <f t="shared" si="15"/>
        <v>3854925.2061322196</v>
      </c>
      <c r="F65" s="7">
        <f t="shared" si="16"/>
        <v>18764.043366464051</v>
      </c>
      <c r="G65" s="7">
        <f t="shared" si="17"/>
        <v>634713.47352532577</v>
      </c>
      <c r="H65" s="7">
        <f t="shared" si="18"/>
        <v>653477.51689178986</v>
      </c>
      <c r="I65" s="7">
        <f>MAX(0,MIN(H65,$E$7-H65*(Supuestos!$B$14-A65)))</f>
        <v>0</v>
      </c>
      <c r="J65" s="7">
        <f t="shared" si="19"/>
        <v>653477.51689178986</v>
      </c>
      <c r="K65" s="7">
        <f t="shared" si="20"/>
        <v>3220211.7326068939</v>
      </c>
      <c r="L65" s="7">
        <f t="shared" si="21"/>
        <v>332145.99207760597</v>
      </c>
      <c r="M65" s="7">
        <f t="shared" si="22"/>
        <v>9537.285733999408</v>
      </c>
      <c r="N65" s="7">
        <f t="shared" si="23"/>
        <v>322608.70634360658</v>
      </c>
      <c r="O65" s="7">
        <f t="shared" si="24"/>
        <v>0</v>
      </c>
      <c r="P65" s="7">
        <f t="shared" si="25"/>
        <v>21656.269942662952</v>
      </c>
    </row>
    <row r="66" spans="1:16" x14ac:dyDescent="0.3">
      <c r="A66" s="5">
        <v>56</v>
      </c>
      <c r="B66" s="5">
        <f t="shared" si="13"/>
        <v>5</v>
      </c>
      <c r="C66" s="20">
        <f>IF(A66=1,Supuestos!$B$18,IF(A66=2,Supuestos!$B$19,IF(A66=3,Supuestos!$B$20,IF(A66&lt;=15,(1+Supuestos!$B$21)^(1/12)-1,IF(A66&lt;=27,(1+Supuestos!$B$22)^(1/12)-1,(1+Supuestos!$B$23)^(1/12)-1)))))</f>
        <v>1.1052724217629706E-2</v>
      </c>
      <c r="D66" s="19">
        <f t="shared" si="14"/>
        <v>1.9891861995253084</v>
      </c>
      <c r="E66" s="7">
        <f t="shared" si="15"/>
        <v>3220211.7326068939</v>
      </c>
      <c r="F66" s="7">
        <f t="shared" si="16"/>
        <v>15674.543439575004</v>
      </c>
      <c r="G66" s="7">
        <f t="shared" si="17"/>
        <v>637802.97345221485</v>
      </c>
      <c r="H66" s="7">
        <f t="shared" si="18"/>
        <v>653477.51689178986</v>
      </c>
      <c r="I66" s="7">
        <f>MAX(0,MIN(H66,$E$7-H66*(Supuestos!$B$14-A66)))</f>
        <v>24890.439186530188</v>
      </c>
      <c r="J66" s="7">
        <f t="shared" si="19"/>
        <v>628587.07770525967</v>
      </c>
      <c r="K66" s="7">
        <f t="shared" si="20"/>
        <v>2582408.7591546793</v>
      </c>
      <c r="L66" s="7">
        <f t="shared" si="21"/>
        <v>316002.13084891863</v>
      </c>
      <c r="M66" s="7">
        <f t="shared" si="22"/>
        <v>7879.8774309391019</v>
      </c>
      <c r="N66" s="7">
        <f t="shared" si="23"/>
        <v>320635.12888055306</v>
      </c>
      <c r="O66" s="7">
        <f t="shared" si="24"/>
        <v>12512.875462573562</v>
      </c>
      <c r="P66" s="7">
        <f t="shared" si="25"/>
        <v>17892.800689735959</v>
      </c>
    </row>
    <row r="67" spans="1:16" x14ac:dyDescent="0.3">
      <c r="A67" s="5">
        <v>57</v>
      </c>
      <c r="B67" s="5">
        <f t="shared" si="13"/>
        <v>5</v>
      </c>
      <c r="C67" s="20">
        <f>IF(A67=1,Supuestos!$B$18,IF(A67=2,Supuestos!$B$19,IF(A67=3,Supuestos!$B$20,IF(A67&lt;=15,(1+Supuestos!$B$21)^(1/12)-1,IF(A67&lt;=27,(1+Supuestos!$B$22)^(1/12)-1,(1+Supuestos!$B$23)^(1/12)-1)))))</f>
        <v>1.1052724217629706E-2</v>
      </c>
      <c r="D67" s="19">
        <f t="shared" si="14"/>
        <v>2.0111721260061768</v>
      </c>
      <c r="E67" s="7">
        <f t="shared" si="15"/>
        <v>2582408.7591546793</v>
      </c>
      <c r="F67" s="7">
        <f t="shared" si="16"/>
        <v>12570.0052155702</v>
      </c>
      <c r="G67" s="7">
        <f t="shared" si="17"/>
        <v>640907.51167621964</v>
      </c>
      <c r="H67" s="7">
        <f t="shared" si="18"/>
        <v>653477.51689178986</v>
      </c>
      <c r="I67" s="7">
        <f>MAX(0,MIN(H67,$E$7-H67*(Supuestos!$B$14-A67)))</f>
        <v>653477.51689178986</v>
      </c>
      <c r="J67" s="7">
        <f t="shared" si="19"/>
        <v>0</v>
      </c>
      <c r="K67" s="7">
        <f t="shared" si="20"/>
        <v>1941501.2474784595</v>
      </c>
      <c r="L67" s="7">
        <f t="shared" si="21"/>
        <v>0</v>
      </c>
      <c r="M67" s="7">
        <f t="shared" si="22"/>
        <v>6250.0892156515474</v>
      </c>
      <c r="N67" s="7">
        <f t="shared" si="23"/>
        <v>318673.62489204033</v>
      </c>
      <c r="O67" s="7">
        <f t="shared" si="24"/>
        <v>324923.71410769189</v>
      </c>
      <c r="P67" s="7">
        <f t="shared" si="25"/>
        <v>14192.048240449958</v>
      </c>
    </row>
    <row r="68" spans="1:16" x14ac:dyDescent="0.3">
      <c r="A68" s="5">
        <v>58</v>
      </c>
      <c r="B68" s="5">
        <f t="shared" si="13"/>
        <v>5</v>
      </c>
      <c r="C68" s="20">
        <f>IF(A68=1,Supuestos!$B$18,IF(A68=2,Supuestos!$B$19,IF(A68=3,Supuestos!$B$20,IF(A68&lt;=15,(1+Supuestos!$B$21)^(1/12)-1,IF(A68&lt;=27,(1+Supuestos!$B$22)^(1/12)-1,(1+Supuestos!$B$23)^(1/12)-1)))))</f>
        <v>1.1052724217629706E-2</v>
      </c>
      <c r="D68" s="19">
        <f t="shared" si="14"/>
        <v>2.0334010568691072</v>
      </c>
      <c r="E68" s="7">
        <f t="shared" si="15"/>
        <v>1941501.2474784595</v>
      </c>
      <c r="F68" s="7">
        <f t="shared" si="16"/>
        <v>9450.3554947780085</v>
      </c>
      <c r="G68" s="7">
        <f t="shared" si="17"/>
        <v>644027.16139701183</v>
      </c>
      <c r="H68" s="7">
        <f t="shared" si="18"/>
        <v>653477.51689178986</v>
      </c>
      <c r="I68" s="7">
        <f>MAX(0,MIN(H68,$E$7-H68*(Supuestos!$B$14-A68)))</f>
        <v>653477.51689178986</v>
      </c>
      <c r="J68" s="7">
        <f t="shared" si="19"/>
        <v>0</v>
      </c>
      <c r="K68" s="7">
        <f t="shared" si="20"/>
        <v>1297474.0860814475</v>
      </c>
      <c r="L68" s="7">
        <f t="shared" si="21"/>
        <v>0</v>
      </c>
      <c r="M68" s="7">
        <f t="shared" si="22"/>
        <v>4647.5610223833673</v>
      </c>
      <c r="N68" s="7">
        <f t="shared" si="23"/>
        <v>316724.12051788793</v>
      </c>
      <c r="O68" s="7">
        <f t="shared" si="24"/>
        <v>321371.68154027133</v>
      </c>
      <c r="P68" s="7">
        <f t="shared" si="25"/>
        <v>10553.194995189271</v>
      </c>
    </row>
    <row r="69" spans="1:16" x14ac:dyDescent="0.3">
      <c r="A69" s="5">
        <v>59</v>
      </c>
      <c r="B69" s="5">
        <f t="shared" si="13"/>
        <v>5</v>
      </c>
      <c r="C69" s="20">
        <f>IF(A69=1,Supuestos!$B$18,IF(A69=2,Supuestos!$B$19,IF(A69=3,Supuestos!$B$20,IF(A69&lt;=15,(1+Supuestos!$B$21)^(1/12)-1,IF(A69&lt;=27,(1+Supuestos!$B$22)^(1/12)-1,(1+Supuestos!$B$23)^(1/12)-1)))))</f>
        <v>1.1052724217629706E-2</v>
      </c>
      <c r="D69" s="19">
        <f t="shared" si="14"/>
        <v>2.0558756779745182</v>
      </c>
      <c r="E69" s="7">
        <f t="shared" si="15"/>
        <v>1297474.0860814475</v>
      </c>
      <c r="F69" s="7">
        <f t="shared" si="16"/>
        <v>6315.5207212237046</v>
      </c>
      <c r="G69" s="7">
        <f t="shared" si="17"/>
        <v>647161.99617056618</v>
      </c>
      <c r="H69" s="7">
        <f t="shared" si="18"/>
        <v>653477.51689178986</v>
      </c>
      <c r="I69" s="7">
        <f>MAX(0,MIN(H69,$E$7-H69*(Supuestos!$B$14-A69)))</f>
        <v>653477.51689178986</v>
      </c>
      <c r="J69" s="7">
        <f t="shared" si="19"/>
        <v>0</v>
      </c>
      <c r="K69" s="7">
        <f t="shared" si="20"/>
        <v>650312.08991088136</v>
      </c>
      <c r="L69" s="7">
        <f t="shared" si="21"/>
        <v>0</v>
      </c>
      <c r="M69" s="7">
        <f t="shared" si="22"/>
        <v>3071.9370771708614</v>
      </c>
      <c r="N69" s="7">
        <f t="shared" si="23"/>
        <v>314786.54234975949</v>
      </c>
      <c r="O69" s="7">
        <f t="shared" si="24"/>
        <v>317858.47942693037</v>
      </c>
      <c r="P69" s="7">
        <f t="shared" si="25"/>
        <v>6975.4330996843364</v>
      </c>
    </row>
    <row r="70" spans="1:16" x14ac:dyDescent="0.3">
      <c r="A70" s="5">
        <v>60</v>
      </c>
      <c r="B70" s="5">
        <f t="shared" si="13"/>
        <v>5</v>
      </c>
      <c r="C70" s="20">
        <f>IF(A70=1,Supuestos!$B$18,IF(A70=2,Supuestos!$B$19,IF(A70=3,Supuestos!$B$20,IF(A70&lt;=15,(1+Supuestos!$B$21)^(1/12)-1,IF(A70&lt;=27,(1+Supuestos!$B$22)^(1/12)-1,(1+Supuestos!$B$23)^(1/12)-1)))))</f>
        <v>1.1052724217629706E-2</v>
      </c>
      <c r="D70" s="19">
        <f t="shared" si="14"/>
        <v>2.0785987048689032</v>
      </c>
      <c r="E70" s="7">
        <f t="shared" si="15"/>
        <v>650312.08991088136</v>
      </c>
      <c r="F70" s="7">
        <f t="shared" si="16"/>
        <v>3165.4269808951299</v>
      </c>
      <c r="G70" s="7">
        <f t="shared" si="17"/>
        <v>650312.08991089475</v>
      </c>
      <c r="H70" s="7">
        <f t="shared" si="18"/>
        <v>653477.51689178986</v>
      </c>
      <c r="I70" s="7">
        <f>MAX(0,MIN(H70,$E$7-H70*(Supuestos!$B$14-A70)))</f>
        <v>653477.51689178986</v>
      </c>
      <c r="J70" s="7">
        <f t="shared" si="19"/>
        <v>0</v>
      </c>
      <c r="K70" s="7">
        <f t="shared" si="20"/>
        <v>-1.3387762010097504E-8</v>
      </c>
      <c r="L70" s="7">
        <f t="shared" si="21"/>
        <v>0</v>
      </c>
      <c r="M70" s="7">
        <f t="shared" si="22"/>
        <v>1522.8658487472562</v>
      </c>
      <c r="N70" s="7">
        <f t="shared" si="23"/>
        <v>312860.81742839812</v>
      </c>
      <c r="O70" s="7">
        <f t="shared" si="24"/>
        <v>314383.68327714538</v>
      </c>
      <c r="P70" s="7">
        <f t="shared" si="25"/>
        <v>3457.9643335382102</v>
      </c>
    </row>
    <row r="71" spans="1:16" x14ac:dyDescent="0.3">
      <c r="A71" s="21" t="s">
        <v>98</v>
      </c>
      <c r="F71" s="22">
        <f>SUM(F11:F70)</f>
        <v>5277601.0135073792</v>
      </c>
      <c r="G71" s="22">
        <f>SUM(G11:G70)</f>
        <v>33931050.000000015</v>
      </c>
      <c r="H71" s="22">
        <f>SUM(H11:H70)</f>
        <v>39208651.013507389</v>
      </c>
      <c r="I71" s="22">
        <f>SUM(I11:I70)</f>
        <v>2638800.5067536896</v>
      </c>
      <c r="J71" s="22">
        <f>SUM(J11:J70)</f>
        <v>36569850.506753683</v>
      </c>
      <c r="L71" s="22">
        <f>SUM(L11:L70)</f>
        <v>25555398.432351697</v>
      </c>
      <c r="M71" s="22">
        <f>SUM(M11:M70)</f>
        <v>4006422.9797108658</v>
      </c>
      <c r="N71" s="22">
        <f>SUM(N11:N70)</f>
        <v>22840025.886455443</v>
      </c>
      <c r="O71" s="22">
        <f>SUM(O11:O70)</f>
        <v>1291050.4338146127</v>
      </c>
      <c r="P71" s="22">
        <f>SUM(P11:P70)</f>
        <v>11091024.113544559</v>
      </c>
    </row>
    <row r="73" spans="1:16" x14ac:dyDescent="0.3">
      <c r="A73" s="2" t="s">
        <v>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6"/>
  <sheetViews>
    <sheetView showGridLines="0" workbookViewId="0"/>
  </sheetViews>
  <sheetFormatPr baseColWidth="10" defaultColWidth="8.88671875" defaultRowHeight="14.4" x14ac:dyDescent="0.3"/>
  <cols>
    <col min="1" max="1" width="62" customWidth="1"/>
    <col min="2" max="8" width="15" customWidth="1"/>
  </cols>
  <sheetData>
    <row r="1" spans="1:8" ht="16.8" x14ac:dyDescent="0.3">
      <c r="A1" s="1" t="s">
        <v>100</v>
      </c>
    </row>
    <row r="3" spans="1:8" x14ac:dyDescent="0.3">
      <c r="A3" s="3" t="s">
        <v>101</v>
      </c>
      <c r="B3" s="23" t="s">
        <v>102</v>
      </c>
      <c r="C3" s="23" t="s">
        <v>103</v>
      </c>
      <c r="D3" s="23" t="s">
        <v>104</v>
      </c>
      <c r="E3" s="23" t="s">
        <v>105</v>
      </c>
      <c r="F3" s="23" t="s">
        <v>106</v>
      </c>
      <c r="G3" s="23" t="s">
        <v>107</v>
      </c>
      <c r="H3" s="23" t="s">
        <v>98</v>
      </c>
    </row>
    <row r="4" spans="1:8" x14ac:dyDescent="0.3">
      <c r="A4" s="24" t="s">
        <v>108</v>
      </c>
    </row>
    <row r="5" spans="1:8" x14ac:dyDescent="0.3">
      <c r="A5" s="5" t="s">
        <v>109</v>
      </c>
      <c r="C5" s="16">
        <f>12*Supuestos!$B$31</f>
        <v>3000000</v>
      </c>
      <c r="D5" s="16">
        <f>12*Supuestos!$B$31</f>
        <v>3000000</v>
      </c>
      <c r="E5" s="16">
        <f>12*Supuestos!$B$31</f>
        <v>3000000</v>
      </c>
      <c r="F5" s="16">
        <f>12*Supuestos!$B$31</f>
        <v>3000000</v>
      </c>
      <c r="G5" s="16">
        <f>12*Supuestos!$B$31</f>
        <v>3000000</v>
      </c>
      <c r="H5" s="7">
        <f t="shared" ref="H5:H11" si="0">SUM(B5:G5)</f>
        <v>15000000</v>
      </c>
    </row>
    <row r="6" spans="1:8" x14ac:dyDescent="0.3">
      <c r="A6" s="5" t="s">
        <v>110</v>
      </c>
      <c r="C6" s="16">
        <f>12*Supuestos!$B$33</f>
        <v>720000</v>
      </c>
      <c r="D6" s="16">
        <f>12*Supuestos!$B$33</f>
        <v>720000</v>
      </c>
      <c r="E6" s="16">
        <f>12*Supuestos!$B$33</f>
        <v>720000</v>
      </c>
      <c r="F6" s="16">
        <f>12*Supuestos!$B$33</f>
        <v>720000</v>
      </c>
      <c r="G6" s="16">
        <f>12*Supuestos!$B$33</f>
        <v>720000</v>
      </c>
      <c r="H6" s="7">
        <f t="shared" si="0"/>
        <v>3600000</v>
      </c>
    </row>
    <row r="7" spans="1:8" x14ac:dyDescent="0.3">
      <c r="A7" s="5" t="s">
        <v>111</v>
      </c>
      <c r="C7" s="16">
        <f>12*Supuestos!$B$32</f>
        <v>5400000</v>
      </c>
      <c r="D7" s="16">
        <f>12*Supuestos!$B$32</f>
        <v>5400000</v>
      </c>
      <c r="E7" s="16">
        <f>12*Supuestos!$B$32</f>
        <v>5400000</v>
      </c>
      <c r="F7" s="16">
        <f>12*Supuestos!$B$32</f>
        <v>5400000</v>
      </c>
      <c r="G7" s="16">
        <f>12*Supuestos!$B$32</f>
        <v>5400000</v>
      </c>
      <c r="H7" s="7">
        <f t="shared" si="0"/>
        <v>27000000</v>
      </c>
    </row>
    <row r="8" spans="1:8" x14ac:dyDescent="0.3">
      <c r="A8" s="5" t="s">
        <v>112</v>
      </c>
      <c r="C8" s="16">
        <f>12*Supuestos!$B$34</f>
        <v>1320000</v>
      </c>
      <c r="D8" s="16">
        <f>12*Supuestos!$B$34</f>
        <v>1320000</v>
      </c>
      <c r="E8" s="16">
        <f>12*Supuestos!$B$34</f>
        <v>1320000</v>
      </c>
      <c r="F8" s="16">
        <f>12*Supuestos!$B$34</f>
        <v>1320000</v>
      </c>
      <c r="G8" s="16">
        <f>12*Supuestos!$B$34</f>
        <v>1320000</v>
      </c>
      <c r="H8" s="7">
        <f t="shared" si="0"/>
        <v>6600000</v>
      </c>
    </row>
    <row r="9" spans="1:8" x14ac:dyDescent="0.3">
      <c r="A9" s="5" t="s">
        <v>113</v>
      </c>
      <c r="C9" s="16">
        <f>12*(Supuestos!$B$35+Supuestos!$B$36)</f>
        <v>9840000</v>
      </c>
      <c r="D9" s="16">
        <f>12*(Supuestos!$B$35+Supuestos!$B$36)</f>
        <v>9840000</v>
      </c>
      <c r="E9" s="16">
        <f>12*(Supuestos!$B$35+Supuestos!$B$36)</f>
        <v>9840000</v>
      </c>
      <c r="F9" s="16">
        <f>12*(Supuestos!$B$35+Supuestos!$B$36)</f>
        <v>9840000</v>
      </c>
      <c r="G9" s="16">
        <f>12*(Supuestos!$B$35+Supuestos!$B$36)</f>
        <v>9840000</v>
      </c>
      <c r="H9" s="7">
        <f t="shared" si="0"/>
        <v>49200000</v>
      </c>
    </row>
    <row r="10" spans="1:8" x14ac:dyDescent="0.3">
      <c r="A10" s="5" t="s">
        <v>114</v>
      </c>
      <c r="C10" s="16">
        <f>12*Supuestos!$B$37</f>
        <v>2160000</v>
      </c>
      <c r="D10" s="16">
        <f>12*Supuestos!$B$37</f>
        <v>2160000</v>
      </c>
      <c r="E10" s="16">
        <f>12*Supuestos!$B$37</f>
        <v>2160000</v>
      </c>
      <c r="F10" s="16">
        <f>12*Supuestos!$B$37</f>
        <v>2160000</v>
      </c>
      <c r="G10" s="16">
        <f>12*Supuestos!$B$37</f>
        <v>2160000</v>
      </c>
      <c r="H10" s="7">
        <f t="shared" si="0"/>
        <v>10800000</v>
      </c>
    </row>
    <row r="11" spans="1:8" x14ac:dyDescent="0.3">
      <c r="A11" s="25" t="s">
        <v>115</v>
      </c>
      <c r="C11" s="22">
        <f>SUM(C5:C10)</f>
        <v>22440000</v>
      </c>
      <c r="D11" s="22">
        <f>SUM(D5:D10)</f>
        <v>22440000</v>
      </c>
      <c r="E11" s="22">
        <f>SUM(E5:E10)</f>
        <v>22440000</v>
      </c>
      <c r="F11" s="22">
        <f>SUM(F5:F10)</f>
        <v>22440000</v>
      </c>
      <c r="G11" s="22">
        <f>SUM(G5:G10)</f>
        <v>22440000</v>
      </c>
      <c r="H11" s="22">
        <f t="shared" si="0"/>
        <v>112200000</v>
      </c>
    </row>
    <row r="13" spans="1:8" x14ac:dyDescent="0.3">
      <c r="A13" s="24" t="s">
        <v>116</v>
      </c>
    </row>
    <row r="14" spans="1:8" x14ac:dyDescent="0.3">
      <c r="A14" s="5" t="s">
        <v>117</v>
      </c>
      <c r="C14" s="16">
        <f>12*Supuestos!$B$31</f>
        <v>3000000</v>
      </c>
      <c r="D14" s="16">
        <f>12*Supuestos!$B$31</f>
        <v>3000000</v>
      </c>
      <c r="E14" s="16">
        <f>12*Supuestos!$B$31</f>
        <v>3000000</v>
      </c>
      <c r="F14" s="16">
        <f>12*Supuestos!$B$31</f>
        <v>3000000</v>
      </c>
      <c r="G14" s="16">
        <f>12*Supuestos!$B$31</f>
        <v>3000000</v>
      </c>
      <c r="H14" s="7">
        <f t="shared" ref="H14:H28" si="1">SUM(B14:G14)</f>
        <v>15000000</v>
      </c>
    </row>
    <row r="15" spans="1:8" x14ac:dyDescent="0.3">
      <c r="A15" s="5" t="s">
        <v>110</v>
      </c>
      <c r="C15" s="16">
        <f>12*Supuestos!$B$33</f>
        <v>720000</v>
      </c>
      <c r="D15" s="16">
        <f>12*Supuestos!$B$33</f>
        <v>720000</v>
      </c>
      <c r="E15" s="16">
        <f>12*Supuestos!$B$33</f>
        <v>720000</v>
      </c>
      <c r="F15" s="16">
        <f>12*Supuestos!$B$33</f>
        <v>720000</v>
      </c>
      <c r="G15" s="16">
        <f>12*Supuestos!$B$33</f>
        <v>720000</v>
      </c>
      <c r="H15" s="7">
        <f t="shared" si="1"/>
        <v>3600000</v>
      </c>
    </row>
    <row r="16" spans="1:8" x14ac:dyDescent="0.3">
      <c r="A16" s="5" t="s">
        <v>118</v>
      </c>
      <c r="C16" s="16">
        <f>12*Supuestos!$B$32*(1-Supuestos!$B$39)</f>
        <v>0</v>
      </c>
      <c r="D16" s="16">
        <f>12*Supuestos!$B$32*(1-Supuestos!$B$39)</f>
        <v>0</v>
      </c>
      <c r="E16" s="16">
        <f>12*Supuestos!$B$32*(1-Supuestos!$B$39)</f>
        <v>0</v>
      </c>
      <c r="F16" s="16">
        <f>12*Supuestos!$B$32*(1-Supuestos!$B$39)</f>
        <v>0</v>
      </c>
      <c r="G16" s="16">
        <f>12*Supuestos!$B$32*(1-Supuestos!$B$39)</f>
        <v>0</v>
      </c>
      <c r="H16" s="7">
        <f t="shared" si="1"/>
        <v>0</v>
      </c>
    </row>
    <row r="17" spans="1:8" x14ac:dyDescent="0.3">
      <c r="A17" s="5" t="s">
        <v>119</v>
      </c>
      <c r="C17" s="16">
        <f>12*Supuestos!$B$34*(1-Supuestos!$B$39)</f>
        <v>0</v>
      </c>
      <c r="D17" s="16">
        <f>12*Supuestos!$B$34*(1-Supuestos!$B$39)</f>
        <v>0</v>
      </c>
      <c r="E17" s="16">
        <f>12*Supuestos!$B$34*(1-Supuestos!$B$39)</f>
        <v>0</v>
      </c>
      <c r="F17" s="16">
        <f>12*Supuestos!$B$34*(1-Supuestos!$B$39)</f>
        <v>0</v>
      </c>
      <c r="G17" s="16">
        <f>12*Supuestos!$B$34*(1-Supuestos!$B$39)</f>
        <v>0</v>
      </c>
      <c r="H17" s="7">
        <f t="shared" si="1"/>
        <v>0</v>
      </c>
    </row>
    <row r="18" spans="1:8" x14ac:dyDescent="0.3">
      <c r="A18" s="5" t="s">
        <v>120</v>
      </c>
      <c r="C18" s="16">
        <f>12*(Supuestos!$B$35+Supuestos!$B$40)</f>
        <v>9840000</v>
      </c>
      <c r="D18" s="16">
        <f>12*(Supuestos!$B$35+Supuestos!$B$40)</f>
        <v>9840000</v>
      </c>
      <c r="E18" s="16">
        <f>12*(Supuestos!$B$35+Supuestos!$B$40)</f>
        <v>9840000</v>
      </c>
      <c r="F18" s="16">
        <f>12*(Supuestos!$B$35+Supuestos!$B$40)</f>
        <v>9840000</v>
      </c>
      <c r="G18" s="16">
        <f>12*(Supuestos!$B$35+Supuestos!$B$40)</f>
        <v>9840000</v>
      </c>
      <c r="H18" s="7">
        <f t="shared" si="1"/>
        <v>49200000</v>
      </c>
    </row>
    <row r="19" spans="1:8" x14ac:dyDescent="0.3">
      <c r="A19" s="5" t="s">
        <v>121</v>
      </c>
      <c r="C19" s="16">
        <f>12*Supuestos!$B$37*(1-Supuestos!$B$38)</f>
        <v>1080000</v>
      </c>
      <c r="D19" s="16">
        <f>12*Supuestos!$B$37*(1-Supuestos!$B$38)</f>
        <v>1080000</v>
      </c>
      <c r="E19" s="16">
        <f>12*Supuestos!$B$37*(1-Supuestos!$B$38)</f>
        <v>1080000</v>
      </c>
      <c r="F19" s="16">
        <f>12*Supuestos!$B$37*(1-Supuestos!$B$38)</f>
        <v>1080000</v>
      </c>
      <c r="G19" s="16">
        <f>12*Supuestos!$B$37*(1-Supuestos!$B$38)</f>
        <v>1080000</v>
      </c>
      <c r="H19" s="7">
        <f t="shared" si="1"/>
        <v>5400000</v>
      </c>
    </row>
    <row r="20" spans="1:8" x14ac:dyDescent="0.3">
      <c r="A20" s="5" t="s">
        <v>122</v>
      </c>
      <c r="C20" s="16">
        <f>12*Supuestos!$B$28</f>
        <v>1800000</v>
      </c>
      <c r="D20" s="16">
        <f>12*Supuestos!$B$28</f>
        <v>1800000</v>
      </c>
      <c r="E20" s="16">
        <f>12*Supuestos!$B$28</f>
        <v>1800000</v>
      </c>
      <c r="F20" s="16">
        <f>12*Supuestos!$B$28</f>
        <v>1800000</v>
      </c>
      <c r="G20" s="16">
        <f>12*Supuestos!$B$28</f>
        <v>1800000</v>
      </c>
      <c r="H20" s="7">
        <f t="shared" si="1"/>
        <v>9000000</v>
      </c>
    </row>
    <row r="21" spans="1:8" x14ac:dyDescent="0.3">
      <c r="A21" s="5" t="s">
        <v>123</v>
      </c>
      <c r="C21" s="16">
        <f>Supuestos!$B$15*Supuestos!$B$16</f>
        <v>749890</v>
      </c>
      <c r="D21" s="16">
        <f>Supuestos!$B$15*Supuestos!$B$16</f>
        <v>749890</v>
      </c>
      <c r="E21" s="16">
        <f>Supuestos!$B$15*Supuestos!$B$16</f>
        <v>749890</v>
      </c>
      <c r="F21" s="16">
        <f>Supuestos!$B$15*Supuestos!$B$16</f>
        <v>749890</v>
      </c>
      <c r="G21" s="16">
        <f>Supuestos!$B$15*Supuestos!$B$16</f>
        <v>749890</v>
      </c>
      <c r="H21" s="7">
        <f t="shared" si="1"/>
        <v>3749450</v>
      </c>
    </row>
    <row r="22" spans="1:8" x14ac:dyDescent="0.3">
      <c r="A22" s="5" t="s">
        <v>124</v>
      </c>
      <c r="C22" s="16">
        <f>IF(1&lt;=2,Supuestos!$B$41,Supuestos!$B$42)</f>
        <v>600000</v>
      </c>
      <c r="D22" s="16">
        <f>IF(2&lt;=2,Supuestos!$B$41,Supuestos!$B$42)</f>
        <v>600000</v>
      </c>
      <c r="E22" s="16">
        <f>IF(3&lt;=2,Supuestos!$B$41,Supuestos!$B$42)</f>
        <v>1200000</v>
      </c>
      <c r="F22" s="16">
        <f>IF(4&lt;=2,Supuestos!$B$41,Supuestos!$B$42)</f>
        <v>1200000</v>
      </c>
      <c r="G22" s="16">
        <f>IF(5&lt;=2,Supuestos!$B$41,Supuestos!$B$42)</f>
        <v>1200000</v>
      </c>
      <c r="H22" s="7">
        <f t="shared" si="1"/>
        <v>4800000</v>
      </c>
    </row>
    <row r="23" spans="1:8" x14ac:dyDescent="0.3">
      <c r="A23" s="5" t="s">
        <v>125</v>
      </c>
      <c r="C23" s="16">
        <f>IF(OR(1=3,1=5),Supuestos!$B$17,0)</f>
        <v>0</v>
      </c>
      <c r="D23" s="16">
        <f>IF(OR(2=3,2=5),Supuestos!$B$17,0)</f>
        <v>0</v>
      </c>
      <c r="E23" s="16">
        <f>IF(OR(3=3,3=5),Supuestos!$B$17,0)</f>
        <v>75000</v>
      </c>
      <c r="F23" s="16">
        <f>IF(OR(4=3,4=5),Supuestos!$B$17,0)</f>
        <v>0</v>
      </c>
      <c r="G23" s="16">
        <f>IF(OR(5=3,5=5),Supuestos!$B$17,0)</f>
        <v>75000</v>
      </c>
      <c r="H23" s="7">
        <f t="shared" si="1"/>
        <v>150000</v>
      </c>
    </row>
    <row r="24" spans="1:8" x14ac:dyDescent="0.3">
      <c r="A24" s="5" t="s">
        <v>126</v>
      </c>
      <c r="C24" s="16">
        <f>SUMIF('Préstamo INAES'!$B$11:$B$70,1,'Préstamo INAES'!$L$11:$L$70)</f>
        <v>7073688.7203855477</v>
      </c>
      <c r="D24" s="16">
        <f>SUMIF('Préstamo INAES'!$B$11:$B$70,2,'Préstamo INAES'!$L$11:$L$70)</f>
        <v>5964728.0275525106</v>
      </c>
      <c r="E24" s="16">
        <f>SUMIF('Préstamo INAES'!$B$11:$B$70,3,'Préstamo INAES'!$L$11:$L$70)</f>
        <v>5221329.0735610966</v>
      </c>
      <c r="F24" s="16">
        <f>SUMIF('Préstamo INAES'!$B$11:$B$70,4,'Préstamo INAES'!$L$11:$L$70)</f>
        <v>4576099.1004041201</v>
      </c>
      <c r="G24" s="16">
        <f>SUMIF('Préstamo INAES'!$B$11:$B$70,5,'Préstamo INAES'!$L$11:$L$70)</f>
        <v>2719553.5104484218</v>
      </c>
      <c r="H24" s="7">
        <f t="shared" si="1"/>
        <v>25555398.432351697</v>
      </c>
    </row>
    <row r="25" spans="1:8" x14ac:dyDescent="0.3">
      <c r="A25" s="5" t="s">
        <v>127</v>
      </c>
      <c r="B25" s="16">
        <f>Supuestos!B9+Supuestos!B43-'Préstamo INAES'!E3</f>
        <v>5063450</v>
      </c>
      <c r="H25" s="7">
        <f t="shared" si="1"/>
        <v>5063450</v>
      </c>
    </row>
    <row r="26" spans="1:8" x14ac:dyDescent="0.3">
      <c r="A26" s="5" t="s">
        <v>128</v>
      </c>
      <c r="C26" s="16">
        <f>-Supuestos!B10</f>
        <v>-3563450</v>
      </c>
      <c r="H26" s="7">
        <f t="shared" si="1"/>
        <v>-3563450</v>
      </c>
    </row>
    <row r="27" spans="1:8" x14ac:dyDescent="0.3">
      <c r="A27" s="5" t="s">
        <v>129</v>
      </c>
      <c r="G27" s="16">
        <f>-Supuestos!B44*Supuestos!B8</f>
        <v>-13572420</v>
      </c>
      <c r="H27" s="7">
        <f t="shared" si="1"/>
        <v>-13572420</v>
      </c>
    </row>
    <row r="28" spans="1:8" x14ac:dyDescent="0.3">
      <c r="A28" s="25" t="s">
        <v>130</v>
      </c>
      <c r="B28" s="22">
        <f t="shared" ref="B28:G28" si="2">SUM(B14:B27)</f>
        <v>5063450</v>
      </c>
      <c r="C28" s="22">
        <f t="shared" si="2"/>
        <v>21300128.720385548</v>
      </c>
      <c r="D28" s="22">
        <f t="shared" si="2"/>
        <v>23754618.027552512</v>
      </c>
      <c r="E28" s="22">
        <f t="shared" si="2"/>
        <v>23686219.073561095</v>
      </c>
      <c r="F28" s="22">
        <f t="shared" si="2"/>
        <v>22965989.100404121</v>
      </c>
      <c r="G28" s="22">
        <f t="shared" si="2"/>
        <v>7612023.5104484223</v>
      </c>
      <c r="H28" s="22">
        <f t="shared" si="1"/>
        <v>104382428.43235171</v>
      </c>
    </row>
    <row r="30" spans="1:8" x14ac:dyDescent="0.3">
      <c r="A30" s="21" t="s">
        <v>131</v>
      </c>
      <c r="B30" s="26">
        <f t="shared" ref="B30:G30" si="3">N(B11)-B28</f>
        <v>-5063450</v>
      </c>
      <c r="C30" s="26">
        <f t="shared" si="3"/>
        <v>1139871.2796144523</v>
      </c>
      <c r="D30" s="26">
        <f t="shared" si="3"/>
        <v>-1314618.0275525115</v>
      </c>
      <c r="E30" s="26">
        <f t="shared" si="3"/>
        <v>-1246219.0735610947</v>
      </c>
      <c r="F30" s="26">
        <f t="shared" si="3"/>
        <v>-525989.10040412098</v>
      </c>
      <c r="G30" s="26">
        <f t="shared" si="3"/>
        <v>14827976.489551578</v>
      </c>
      <c r="H30" s="26">
        <f>SUM(B30:G30)</f>
        <v>7817571.5676483028</v>
      </c>
    </row>
    <row r="32" spans="1:8" x14ac:dyDescent="0.3">
      <c r="A32" s="21" t="s">
        <v>132</v>
      </c>
      <c r="B32" s="26">
        <f>NPV(Supuestos!$B$27,C11:G11)</f>
        <v>97153456.488955572</v>
      </c>
    </row>
    <row r="33" spans="1:2" x14ac:dyDescent="0.3">
      <c r="A33" s="21" t="s">
        <v>133</v>
      </c>
      <c r="B33" s="26">
        <f>B28+NPV(Supuestos!$B$27,C28:G28)</f>
        <v>92214867.949009567</v>
      </c>
    </row>
    <row r="34" spans="1:2" x14ac:dyDescent="0.3">
      <c r="A34" s="21" t="s">
        <v>134</v>
      </c>
      <c r="B34" s="26">
        <f>B32-B33</f>
        <v>4938588.5399460047</v>
      </c>
    </row>
    <row r="36" spans="1:2" x14ac:dyDescent="0.3">
      <c r="A36" s="2" t="s">
        <v>135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6"/>
  <sheetViews>
    <sheetView showGridLines="0" workbookViewId="0"/>
  </sheetViews>
  <sheetFormatPr baseColWidth="10" defaultColWidth="8.88671875" defaultRowHeight="14.4" x14ac:dyDescent="0.3"/>
  <cols>
    <col min="1" max="1" width="62" customWidth="1"/>
    <col min="2" max="8" width="15" customWidth="1"/>
  </cols>
  <sheetData>
    <row r="1" spans="1:8" ht="16.8" x14ac:dyDescent="0.3">
      <c r="A1" s="1" t="s">
        <v>136</v>
      </c>
    </row>
    <row r="2" spans="1:8" x14ac:dyDescent="0.3">
      <c r="A2" s="2" t="s">
        <v>137</v>
      </c>
    </row>
    <row r="4" spans="1:8" x14ac:dyDescent="0.3">
      <c r="A4" s="3" t="s">
        <v>101</v>
      </c>
      <c r="B4" s="23" t="s">
        <v>102</v>
      </c>
      <c r="C4" s="23" t="s">
        <v>103</v>
      </c>
      <c r="D4" s="23" t="s">
        <v>104</v>
      </c>
      <c r="E4" s="23" t="s">
        <v>105</v>
      </c>
      <c r="F4" s="23" t="s">
        <v>106</v>
      </c>
      <c r="G4" s="23" t="s">
        <v>107</v>
      </c>
      <c r="H4" s="23" t="s">
        <v>98</v>
      </c>
    </row>
    <row r="5" spans="1:8" x14ac:dyDescent="0.3">
      <c r="A5" s="24" t="s">
        <v>138</v>
      </c>
    </row>
    <row r="6" spans="1:8" x14ac:dyDescent="0.3">
      <c r="A6" s="5" t="s">
        <v>139</v>
      </c>
      <c r="C6" s="16">
        <f>12*Supuestos!$B$32*Supuestos!$B$39</f>
        <v>5400000</v>
      </c>
      <c r="D6" s="16">
        <f>12*Supuestos!$B$32*Supuestos!$B$39</f>
        <v>5400000</v>
      </c>
      <c r="E6" s="16">
        <f>12*Supuestos!$B$32*Supuestos!$B$39</f>
        <v>5400000</v>
      </c>
      <c r="F6" s="16">
        <f>12*Supuestos!$B$32*Supuestos!$B$39</f>
        <v>5400000</v>
      </c>
      <c r="G6" s="16">
        <f>12*Supuestos!$B$32*Supuestos!$B$39</f>
        <v>5400000</v>
      </c>
      <c r="H6" s="7">
        <f>SUM(B6:G6)</f>
        <v>27000000</v>
      </c>
    </row>
    <row r="7" spans="1:8" x14ac:dyDescent="0.3">
      <c r="A7" s="5" t="s">
        <v>140</v>
      </c>
      <c r="C7" s="16">
        <f>12*Supuestos!$B$34*Supuestos!$B$39</f>
        <v>1320000</v>
      </c>
      <c r="D7" s="16">
        <f>12*Supuestos!$B$34*Supuestos!$B$39</f>
        <v>1320000</v>
      </c>
      <c r="E7" s="16">
        <f>12*Supuestos!$B$34*Supuestos!$B$39</f>
        <v>1320000</v>
      </c>
      <c r="F7" s="16">
        <f>12*Supuestos!$B$34*Supuestos!$B$39</f>
        <v>1320000</v>
      </c>
      <c r="G7" s="16">
        <f>12*Supuestos!$B$34*Supuestos!$B$39</f>
        <v>1320000</v>
      </c>
      <c r="H7" s="7">
        <f>SUM(B7:G7)</f>
        <v>6600000</v>
      </c>
    </row>
    <row r="8" spans="1:8" x14ac:dyDescent="0.3">
      <c r="A8" s="5" t="s">
        <v>141</v>
      </c>
      <c r="C8" s="16">
        <f>12*Supuestos!$B$37*Supuestos!$B$38</f>
        <v>1080000</v>
      </c>
      <c r="D8" s="16">
        <f>12*Supuestos!$B$37*Supuestos!$B$38</f>
        <v>1080000</v>
      </c>
      <c r="E8" s="16">
        <f>12*Supuestos!$B$37*Supuestos!$B$38</f>
        <v>1080000</v>
      </c>
      <c r="F8" s="16">
        <f>12*Supuestos!$B$37*Supuestos!$B$38</f>
        <v>1080000</v>
      </c>
      <c r="G8" s="16">
        <f>12*Supuestos!$B$37*Supuestos!$B$38</f>
        <v>1080000</v>
      </c>
      <c r="H8" s="7">
        <f>SUM(B8:G8)</f>
        <v>5400000</v>
      </c>
    </row>
    <row r="9" spans="1:8" x14ac:dyDescent="0.3">
      <c r="A9" s="5" t="s">
        <v>142</v>
      </c>
      <c r="C9" s="16">
        <f>12*(Supuestos!$B$36-Supuestos!$B$40)</f>
        <v>0</v>
      </c>
      <c r="D9" s="16">
        <f>12*(Supuestos!$B$36-Supuestos!$B$40)</f>
        <v>0</v>
      </c>
      <c r="E9" s="16">
        <f>12*(Supuestos!$B$36-Supuestos!$B$40)</f>
        <v>0</v>
      </c>
      <c r="F9" s="16">
        <f>12*(Supuestos!$B$36-Supuestos!$B$40)</f>
        <v>0</v>
      </c>
      <c r="G9" s="16">
        <f>12*(Supuestos!$B$36-Supuestos!$B$40)</f>
        <v>0</v>
      </c>
      <c r="H9" s="7">
        <f>SUM(B9:G9)</f>
        <v>0</v>
      </c>
    </row>
    <row r="10" spans="1:8" x14ac:dyDescent="0.3">
      <c r="A10" s="25" t="s">
        <v>143</v>
      </c>
      <c r="C10" s="22">
        <f>SUM(C6:C9)</f>
        <v>7800000</v>
      </c>
      <c r="D10" s="22">
        <f>SUM(D6:D9)</f>
        <v>7800000</v>
      </c>
      <c r="E10" s="22">
        <f>SUM(E6:E9)</f>
        <v>7800000</v>
      </c>
      <c r="F10" s="22">
        <f>SUM(F6:F9)</f>
        <v>7800000</v>
      </c>
      <c r="G10" s="22">
        <f>SUM(G6:G9)</f>
        <v>7800000</v>
      </c>
      <c r="H10" s="22">
        <f>SUM(B10:G10)</f>
        <v>39000000</v>
      </c>
    </row>
    <row r="12" spans="1:8" x14ac:dyDescent="0.3">
      <c r="A12" s="24" t="s">
        <v>144</v>
      </c>
    </row>
    <row r="13" spans="1:8" x14ac:dyDescent="0.3">
      <c r="A13" s="5" t="s">
        <v>145</v>
      </c>
      <c r="C13" s="16">
        <f>-12*Supuestos!$B$28</f>
        <v>-1800000</v>
      </c>
      <c r="D13" s="16">
        <f>-12*Supuestos!$B$28</f>
        <v>-1800000</v>
      </c>
      <c r="E13" s="16">
        <f>-12*Supuestos!$B$28</f>
        <v>-1800000</v>
      </c>
      <c r="F13" s="16">
        <f>-12*Supuestos!$B$28</f>
        <v>-1800000</v>
      </c>
      <c r="G13" s="16">
        <f>-12*Supuestos!$B$28</f>
        <v>-1800000</v>
      </c>
      <c r="H13" s="7">
        <f>SUM(B13:G13)</f>
        <v>-9000000</v>
      </c>
    </row>
    <row r="14" spans="1:8" x14ac:dyDescent="0.3">
      <c r="A14" s="5" t="s">
        <v>146</v>
      </c>
      <c r="C14" s="16">
        <f>-Supuestos!$B$15*Supuestos!$B$16</f>
        <v>-749890</v>
      </c>
      <c r="D14" s="16">
        <f>-Supuestos!$B$15*Supuestos!$B$16</f>
        <v>-749890</v>
      </c>
      <c r="E14" s="16">
        <f>-Supuestos!$B$15*Supuestos!$B$16</f>
        <v>-749890</v>
      </c>
      <c r="F14" s="16">
        <f>-Supuestos!$B$15*Supuestos!$B$16</f>
        <v>-749890</v>
      </c>
      <c r="G14" s="16">
        <f>-Supuestos!$B$15*Supuestos!$B$16</f>
        <v>-749890</v>
      </c>
      <c r="H14" s="7">
        <f>SUM(B14:G14)</f>
        <v>-3749450</v>
      </c>
    </row>
    <row r="15" spans="1:8" x14ac:dyDescent="0.3">
      <c r="A15" s="5" t="s">
        <v>147</v>
      </c>
      <c r="C15" s="16">
        <f>-IF(1&lt;=2,Supuestos!$B$41,Supuestos!$B$42)</f>
        <v>-600000</v>
      </c>
      <c r="D15" s="16">
        <f>-IF(2&lt;=2,Supuestos!$B$41,Supuestos!$B$42)</f>
        <v>-600000</v>
      </c>
      <c r="E15" s="16">
        <f>-IF(3&lt;=2,Supuestos!$B$41,Supuestos!$B$42)</f>
        <v>-1200000</v>
      </c>
      <c r="F15" s="16">
        <f>-IF(4&lt;=2,Supuestos!$B$41,Supuestos!$B$42)</f>
        <v>-1200000</v>
      </c>
      <c r="G15" s="16">
        <f>-IF(5&lt;=2,Supuestos!$B$41,Supuestos!$B$42)</f>
        <v>-1200000</v>
      </c>
      <c r="H15" s="7">
        <f>SUM(B15:G15)</f>
        <v>-4800000</v>
      </c>
    </row>
    <row r="16" spans="1:8" x14ac:dyDescent="0.3">
      <c r="A16" s="5" t="s">
        <v>125</v>
      </c>
      <c r="C16" s="16">
        <f>-IF(OR(1=3,1=5),Supuestos!$B$17,0)</f>
        <v>0</v>
      </c>
      <c r="D16" s="16">
        <f>-IF(OR(2=3,2=5),Supuestos!$B$17,0)</f>
        <v>0</v>
      </c>
      <c r="E16" s="16">
        <f>-IF(OR(3=3,3=5),Supuestos!$B$17,0)</f>
        <v>-75000</v>
      </c>
      <c r="F16" s="16">
        <f>-IF(OR(4=3,4=5),Supuestos!$B$17,0)</f>
        <v>0</v>
      </c>
      <c r="G16" s="16">
        <f>-IF(OR(5=3,5=5),Supuestos!$B$17,0)</f>
        <v>-75000</v>
      </c>
      <c r="H16" s="7">
        <f>SUM(B16:G16)</f>
        <v>-150000</v>
      </c>
    </row>
    <row r="17" spans="1:8" x14ac:dyDescent="0.3">
      <c r="A17" s="25" t="s">
        <v>148</v>
      </c>
      <c r="C17" s="22">
        <f>SUM(C13:C16)</f>
        <v>-3149890</v>
      </c>
      <c r="D17" s="22">
        <f>SUM(D13:D16)</f>
        <v>-3149890</v>
      </c>
      <c r="E17" s="22">
        <f>SUM(E13:E16)</f>
        <v>-3824890</v>
      </c>
      <c r="F17" s="22">
        <f>SUM(F13:F16)</f>
        <v>-3749890</v>
      </c>
      <c r="G17" s="22">
        <f>SUM(G13:G16)</f>
        <v>-3824890</v>
      </c>
      <c r="H17" s="22">
        <f>SUM(B17:G17)</f>
        <v>-17699450</v>
      </c>
    </row>
    <row r="19" spans="1:8" x14ac:dyDescent="0.3">
      <c r="A19" s="21" t="s">
        <v>149</v>
      </c>
      <c r="C19" s="26">
        <f>C10+C17</f>
        <v>4650110</v>
      </c>
      <c r="D19" s="26">
        <f>D10+D17</f>
        <v>4650110</v>
      </c>
      <c r="E19" s="26">
        <f>E10+E17</f>
        <v>3975110</v>
      </c>
      <c r="F19" s="26">
        <f>F10+F17</f>
        <v>4050110</v>
      </c>
      <c r="G19" s="26">
        <f>G10+G17</f>
        <v>3975110</v>
      </c>
      <c r="H19" s="26">
        <f>SUM(B19:G19)</f>
        <v>21300550</v>
      </c>
    </row>
    <row r="20" spans="1:8" x14ac:dyDescent="0.3">
      <c r="A20" s="5" t="s">
        <v>150</v>
      </c>
      <c r="C20" s="16">
        <f>-IF(1&lt;=Supuestos!$B$46,Supuestos!$B$8/Supuestos!$B$46,0)</f>
        <v>-6786210</v>
      </c>
      <c r="D20" s="16">
        <f>-IF(2&lt;=Supuestos!$B$46,Supuestos!$B$8/Supuestos!$B$46,0)</f>
        <v>-6786210</v>
      </c>
      <c r="E20" s="16">
        <f>-IF(3&lt;=Supuestos!$B$46,Supuestos!$B$8/Supuestos!$B$46,0)</f>
        <v>-6786210</v>
      </c>
      <c r="F20" s="16">
        <f>-IF(4&lt;=Supuestos!$B$46,Supuestos!$B$8/Supuestos!$B$46,0)</f>
        <v>-6786210</v>
      </c>
      <c r="G20" s="16">
        <f>-IF(5&lt;=Supuestos!$B$46,Supuestos!$B$8/Supuestos!$B$46,0)</f>
        <v>-6786210</v>
      </c>
      <c r="H20" s="7">
        <f>SUM(B20:G20)</f>
        <v>-33931050</v>
      </c>
    </row>
    <row r="21" spans="1:8" x14ac:dyDescent="0.3">
      <c r="A21" s="25" t="s">
        <v>151</v>
      </c>
      <c r="C21" s="22">
        <f>C19+C20</f>
        <v>-2136100</v>
      </c>
      <c r="D21" s="22">
        <f>D19+D20</f>
        <v>-2136100</v>
      </c>
      <c r="E21" s="22">
        <f>E19+E20</f>
        <v>-2811100</v>
      </c>
      <c r="F21" s="22">
        <f>F19+F20</f>
        <v>-2736100</v>
      </c>
      <c r="G21" s="22">
        <f>G19+G20</f>
        <v>-2811100</v>
      </c>
      <c r="H21" s="22">
        <f>SUM(B21:G21)</f>
        <v>-12630500</v>
      </c>
    </row>
    <row r="23" spans="1:8" x14ac:dyDescent="0.3">
      <c r="A23" s="24" t="s">
        <v>152</v>
      </c>
    </row>
    <row r="24" spans="1:8" x14ac:dyDescent="0.3">
      <c r="A24" s="5" t="s">
        <v>153</v>
      </c>
      <c r="C24" s="16">
        <f>-SUMIF('Préstamo INAES'!$B$11:$B$70,1,'Préstamo INAES'!$M$11:$M$70)</f>
        <v>-1648919.6709006801</v>
      </c>
      <c r="D24" s="16">
        <f>-SUMIF('Préstamo INAES'!$B$11:$B$70,2,'Préstamo INAES'!$M$11:$M$70)</f>
        <v>-1114771.9941812626</v>
      </c>
      <c r="E24" s="16">
        <f>-SUMIF('Préstamo INAES'!$B$11:$B$70,3,'Préstamo INAES'!$M$11:$M$70)</f>
        <v>-720973.66875791515</v>
      </c>
      <c r="F24" s="16">
        <f>-SUMIF('Préstamo INAES'!$B$11:$B$70,4,'Préstamo INAES'!$M$11:$M$70)</f>
        <v>-395225.5429182506</v>
      </c>
      <c r="G24" s="16">
        <f>-SUMIF('Préstamo INAES'!$B$11:$B$70,5,'Préstamo INAES'!$M$11:$M$70)</f>
        <v>-126532.10295275901</v>
      </c>
      <c r="H24" s="7">
        <f>SUM(B24:G24)</f>
        <v>-4006422.9797108667</v>
      </c>
    </row>
    <row r="25" spans="1:8" x14ac:dyDescent="0.3">
      <c r="A25" s="5" t="s">
        <v>154</v>
      </c>
      <c r="C25" s="16">
        <f>SUMIF('Préstamo INAES'!$B$11:$B$70,1,'Préstamo INAES'!$P$11:$P$70)</f>
        <v>5434284.2643404715</v>
      </c>
      <c r="D25" s="16">
        <f>SUMIF('Préstamo INAES'!$B$11:$B$70,2,'Préstamo INAES'!$P$11:$P$70)</f>
        <v>2834875.6871750108</v>
      </c>
      <c r="E25" s="16">
        <f>SUMIF('Préstamo INAES'!$B$11:$B$70,3,'Préstamo INAES'!$P$11:$P$70)</f>
        <v>1637111.5249816305</v>
      </c>
      <c r="F25" s="16">
        <f>SUMIF('Préstamo INAES'!$B$11:$B$70,4,'Préstamo INAES'!$P$11:$P$70)</f>
        <v>897436.78488741792</v>
      </c>
      <c r="G25" s="16">
        <f>SUMIF('Préstamo INAES'!$B$11:$B$70,5,'Préstamo INAES'!$P$11:$P$70)</f>
        <v>287315.85216003051</v>
      </c>
      <c r="H25" s="7">
        <f>SUM(B25:G25)</f>
        <v>11091024.113544563</v>
      </c>
    </row>
    <row r="26" spans="1:8" x14ac:dyDescent="0.3">
      <c r="A26" s="5" t="s">
        <v>155</v>
      </c>
      <c r="C26" s="16">
        <f>SUMIF('Préstamo INAES'!$B$11:$B$70,1,'Préstamo INAES'!$O$11:$O$70)</f>
        <v>0</v>
      </c>
      <c r="D26" s="16">
        <f>SUMIF('Préstamo INAES'!$B$11:$B$70,2,'Préstamo INAES'!$O$11:$O$70)</f>
        <v>0</v>
      </c>
      <c r="E26" s="16">
        <f>SUMIF('Préstamo INAES'!$B$11:$B$70,3,'Préstamo INAES'!$O$11:$O$70)</f>
        <v>0</v>
      </c>
      <c r="F26" s="16">
        <f>SUMIF('Préstamo INAES'!$B$11:$B$70,4,'Préstamo INAES'!$O$11:$O$70)</f>
        <v>0</v>
      </c>
      <c r="G26" s="16">
        <f>SUMIF('Préstamo INAES'!$B$11:$B$70,5,'Préstamo INAES'!$O$11:$O$70)</f>
        <v>1291050.4338146127</v>
      </c>
      <c r="H26" s="7">
        <f>SUM(B26:G26)</f>
        <v>1291050.4338146127</v>
      </c>
    </row>
    <row r="27" spans="1:8" x14ac:dyDescent="0.3">
      <c r="A27" s="5" t="s">
        <v>156</v>
      </c>
      <c r="C27" s="16">
        <f>-Supuestos!$B$43</f>
        <v>-1500000</v>
      </c>
      <c r="D27" s="16">
        <f>0</f>
        <v>0</v>
      </c>
      <c r="E27" s="16">
        <f>0</f>
        <v>0</v>
      </c>
      <c r="F27" s="16">
        <f>0</f>
        <v>0</v>
      </c>
      <c r="G27" s="16">
        <f>0</f>
        <v>0</v>
      </c>
      <c r="H27" s="7">
        <f>SUM(B27:G27)</f>
        <v>-1500000</v>
      </c>
    </row>
    <row r="28" spans="1:8" x14ac:dyDescent="0.3">
      <c r="A28" s="25" t="s">
        <v>157</v>
      </c>
      <c r="C28" s="22">
        <f>SUM(C24:C27)</f>
        <v>2285364.5934397914</v>
      </c>
      <c r="D28" s="22">
        <f>SUM(D24:D27)</f>
        <v>1720103.6929937482</v>
      </c>
      <c r="E28" s="22">
        <f>SUM(E24:E27)</f>
        <v>916137.85622371535</v>
      </c>
      <c r="F28" s="22">
        <f>SUM(F24:F27)</f>
        <v>502211.24196916731</v>
      </c>
      <c r="G28" s="22">
        <f>SUM(G24:G27)</f>
        <v>1451834.1830218842</v>
      </c>
      <c r="H28" s="22">
        <f>SUM(B28:G28)</f>
        <v>6875651.5676483065</v>
      </c>
    </row>
    <row r="30" spans="1:8" x14ac:dyDescent="0.3">
      <c r="A30" s="5" t="s">
        <v>158</v>
      </c>
      <c r="C30" s="16">
        <f>0</f>
        <v>0</v>
      </c>
      <c r="D30" s="16">
        <f>0</f>
        <v>0</v>
      </c>
      <c r="E30" s="16">
        <f>0</f>
        <v>0</v>
      </c>
      <c r="F30" s="16">
        <f>0</f>
        <v>0</v>
      </c>
      <c r="G30" s="16">
        <f>Supuestos!$B$44*Supuestos!$B$8-(Supuestos!$B$8-MIN(5,Supuestos!$B$46)*Supuestos!$B$8/Supuestos!$B$46)</f>
        <v>13572420</v>
      </c>
      <c r="H30" s="7">
        <f>SUM(B30:G30)</f>
        <v>13572420</v>
      </c>
    </row>
    <row r="32" spans="1:8" x14ac:dyDescent="0.3">
      <c r="A32" s="21" t="s">
        <v>159</v>
      </c>
      <c r="C32" s="26">
        <f>C21+C28+C30</f>
        <v>149264.59343979135</v>
      </c>
      <c r="D32" s="26">
        <f>D21+D28+D30</f>
        <v>-415996.30700625177</v>
      </c>
      <c r="E32" s="26">
        <f>E21+E28+E30</f>
        <v>-1894962.1437762845</v>
      </c>
      <c r="F32" s="26">
        <f>F21+F28+F30</f>
        <v>-2233888.7580308327</v>
      </c>
      <c r="G32" s="26">
        <f>G21+G28+G30</f>
        <v>12213154.183021884</v>
      </c>
      <c r="H32" s="26">
        <f>SUM(B32:G32)</f>
        <v>7817571.5676483065</v>
      </c>
    </row>
    <row r="33" spans="1:8" x14ac:dyDescent="0.3">
      <c r="A33" s="5" t="s">
        <v>160</v>
      </c>
      <c r="C33" s="7">
        <f>0</f>
        <v>0</v>
      </c>
      <c r="D33" s="7">
        <f>0</f>
        <v>0</v>
      </c>
      <c r="E33" s="7">
        <f>0</f>
        <v>0</v>
      </c>
      <c r="F33" s="7">
        <f>0</f>
        <v>0</v>
      </c>
      <c r="G33" s="7">
        <f>0</f>
        <v>0</v>
      </c>
      <c r="H33" s="7">
        <f>SUM(B33:G33)</f>
        <v>0</v>
      </c>
    </row>
    <row r="34" spans="1:8" x14ac:dyDescent="0.3">
      <c r="A34" s="25" t="s">
        <v>161</v>
      </c>
      <c r="C34" s="22">
        <f>C32-C33</f>
        <v>149264.59343979135</v>
      </c>
      <c r="D34" s="22">
        <f>D32-D33</f>
        <v>-415996.30700625177</v>
      </c>
      <c r="E34" s="22">
        <f>E32-E33</f>
        <v>-1894962.1437762845</v>
      </c>
      <c r="F34" s="22">
        <f>F32-F33</f>
        <v>-2233888.7580308327</v>
      </c>
      <c r="G34" s="22">
        <f>G32-G33</f>
        <v>12213154.183021884</v>
      </c>
      <c r="H34" s="22">
        <f>SUM(B34:G34)</f>
        <v>7817571.5676483065</v>
      </c>
    </row>
    <row r="36" spans="1:8" x14ac:dyDescent="0.3">
      <c r="A36" s="2" t="s">
        <v>162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6"/>
  <sheetViews>
    <sheetView showGridLines="0" workbookViewId="0"/>
  </sheetViews>
  <sheetFormatPr baseColWidth="10" defaultColWidth="8.88671875" defaultRowHeight="14.4" x14ac:dyDescent="0.3"/>
  <cols>
    <col min="1" max="1" width="62" customWidth="1"/>
    <col min="2" max="8" width="15" customWidth="1"/>
  </cols>
  <sheetData>
    <row r="1" spans="1:8" ht="16.8" x14ac:dyDescent="0.3">
      <c r="A1" s="1" t="s">
        <v>163</v>
      </c>
    </row>
    <row r="2" spans="1:8" x14ac:dyDescent="0.3">
      <c r="A2" s="2" t="s">
        <v>164</v>
      </c>
    </row>
    <row r="4" spans="1:8" x14ac:dyDescent="0.3">
      <c r="A4" s="3" t="s">
        <v>101</v>
      </c>
      <c r="B4" s="23" t="s">
        <v>102</v>
      </c>
      <c r="C4" s="23" t="s">
        <v>103</v>
      </c>
      <c r="D4" s="23" t="s">
        <v>104</v>
      </c>
      <c r="E4" s="23" t="s">
        <v>105</v>
      </c>
      <c r="F4" s="23" t="s">
        <v>106</v>
      </c>
      <c r="G4" s="23" t="s">
        <v>107</v>
      </c>
      <c r="H4" s="23" t="s">
        <v>98</v>
      </c>
    </row>
    <row r="5" spans="1:8" x14ac:dyDescent="0.3">
      <c r="A5" s="24" t="s">
        <v>165</v>
      </c>
    </row>
    <row r="6" spans="1:8" x14ac:dyDescent="0.3">
      <c r="A6" s="5" t="s">
        <v>138</v>
      </c>
      <c r="C6" s="16">
        <f>EERR!C10</f>
        <v>7800000</v>
      </c>
      <c r="D6" s="16">
        <f>EERR!D10</f>
        <v>7800000</v>
      </c>
      <c r="E6" s="16">
        <f>EERR!E10</f>
        <v>7800000</v>
      </c>
      <c r="F6" s="16">
        <f>EERR!F10</f>
        <v>7800000</v>
      </c>
      <c r="G6" s="16">
        <f>EERR!G10</f>
        <v>7800000</v>
      </c>
      <c r="H6" s="7">
        <f t="shared" ref="H6:H17" si="0">SUM(B6:G6)</f>
        <v>39000000</v>
      </c>
    </row>
    <row r="7" spans="1:8" x14ac:dyDescent="0.3">
      <c r="A7" s="5" t="s">
        <v>144</v>
      </c>
      <c r="C7" s="16">
        <f>EERR!C17</f>
        <v>-3149890</v>
      </c>
      <c r="D7" s="16">
        <f>EERR!D17</f>
        <v>-3149890</v>
      </c>
      <c r="E7" s="16">
        <f>EERR!E17</f>
        <v>-3824890</v>
      </c>
      <c r="F7" s="16">
        <f>EERR!F17</f>
        <v>-3749890</v>
      </c>
      <c r="G7" s="16">
        <f>EERR!G17</f>
        <v>-3824890</v>
      </c>
      <c r="H7" s="7">
        <f t="shared" si="0"/>
        <v>-17699450</v>
      </c>
    </row>
    <row r="8" spans="1:8" x14ac:dyDescent="0.3">
      <c r="A8" s="5" t="s">
        <v>166</v>
      </c>
      <c r="C8" s="16">
        <f>EERR!C20</f>
        <v>-6786210</v>
      </c>
      <c r="D8" s="16">
        <f>EERR!D20</f>
        <v>-6786210</v>
      </c>
      <c r="E8" s="16">
        <f>EERR!E20</f>
        <v>-6786210</v>
      </c>
      <c r="F8" s="16">
        <f>EERR!F20</f>
        <v>-6786210</v>
      </c>
      <c r="G8" s="16">
        <f>EERR!G20</f>
        <v>-6786210</v>
      </c>
      <c r="H8" s="7">
        <f t="shared" si="0"/>
        <v>-33931050</v>
      </c>
    </row>
    <row r="9" spans="1:8" x14ac:dyDescent="0.3">
      <c r="A9" s="25" t="s">
        <v>167</v>
      </c>
      <c r="C9" s="22">
        <f>SUM(C6:C8)</f>
        <v>-2136100</v>
      </c>
      <c r="D9" s="22">
        <f>SUM(D6:D8)</f>
        <v>-2136100</v>
      </c>
      <c r="E9" s="22">
        <f>SUM(E6:E8)</f>
        <v>-2811100</v>
      </c>
      <c r="F9" s="22">
        <f>SUM(F6:F8)</f>
        <v>-2736100</v>
      </c>
      <c r="G9" s="22">
        <f>SUM(G6:G8)</f>
        <v>-2811100</v>
      </c>
      <c r="H9" s="22">
        <f t="shared" si="0"/>
        <v>-12630500</v>
      </c>
    </row>
    <row r="10" spans="1:8" x14ac:dyDescent="0.3">
      <c r="A10" s="5" t="s">
        <v>168</v>
      </c>
      <c r="C10" s="7">
        <f>0</f>
        <v>0</v>
      </c>
      <c r="D10" s="7">
        <f>0</f>
        <v>0</v>
      </c>
      <c r="E10" s="7">
        <f>0</f>
        <v>0</v>
      </c>
      <c r="F10" s="7">
        <f>0</f>
        <v>0</v>
      </c>
      <c r="G10" s="7">
        <f>0</f>
        <v>0</v>
      </c>
      <c r="H10" s="7">
        <f t="shared" si="0"/>
        <v>0</v>
      </c>
    </row>
    <row r="11" spans="1:8" x14ac:dyDescent="0.3">
      <c r="A11" s="21" t="s">
        <v>169</v>
      </c>
      <c r="C11" s="26">
        <f>C9-C10</f>
        <v>-2136100</v>
      </c>
      <c r="D11" s="26">
        <f>D9-D10</f>
        <v>-2136100</v>
      </c>
      <c r="E11" s="26">
        <f>E9-E10</f>
        <v>-2811100</v>
      </c>
      <c r="F11" s="26">
        <f>F9-F10</f>
        <v>-2736100</v>
      </c>
      <c r="G11" s="26">
        <f>G9-G10</f>
        <v>-2811100</v>
      </c>
      <c r="H11" s="26">
        <f t="shared" si="0"/>
        <v>-12630500</v>
      </c>
    </row>
    <row r="12" spans="1:8" x14ac:dyDescent="0.3">
      <c r="A12" s="5" t="s">
        <v>170</v>
      </c>
      <c r="C12" s="7">
        <f>-C8</f>
        <v>6786210</v>
      </c>
      <c r="D12" s="7">
        <f>-D8</f>
        <v>6786210</v>
      </c>
      <c r="E12" s="7">
        <f>-E8</f>
        <v>6786210</v>
      </c>
      <c r="F12" s="7">
        <f>-F8</f>
        <v>6786210</v>
      </c>
      <c r="G12" s="7">
        <f>-G8</f>
        <v>6786210</v>
      </c>
      <c r="H12" s="7">
        <f t="shared" si="0"/>
        <v>33931050</v>
      </c>
    </row>
    <row r="13" spans="1:8" x14ac:dyDescent="0.3">
      <c r="A13" s="5" t="s">
        <v>171</v>
      </c>
      <c r="B13" s="16">
        <f>-Supuestos!B9</f>
        <v>-37494500</v>
      </c>
      <c r="C13" s="16">
        <f>0</f>
        <v>0</v>
      </c>
      <c r="D13" s="16">
        <f>0</f>
        <v>0</v>
      </c>
      <c r="E13" s="16">
        <f>0</f>
        <v>0</v>
      </c>
      <c r="F13" s="16">
        <f>0</f>
        <v>0</v>
      </c>
      <c r="G13" s="16">
        <f>0</f>
        <v>0</v>
      </c>
      <c r="H13" s="7">
        <f t="shared" si="0"/>
        <v>-37494500</v>
      </c>
    </row>
    <row r="14" spans="1:8" x14ac:dyDescent="0.3">
      <c r="A14" s="5" t="s">
        <v>156</v>
      </c>
      <c r="B14" s="16">
        <f>-Supuestos!B43</f>
        <v>-1500000</v>
      </c>
      <c r="C14" s="16">
        <f>0</f>
        <v>0</v>
      </c>
      <c r="D14" s="16">
        <f>0</f>
        <v>0</v>
      </c>
      <c r="E14" s="16">
        <f>0</f>
        <v>0</v>
      </c>
      <c r="F14" s="16">
        <f>0</f>
        <v>0</v>
      </c>
      <c r="G14" s="16">
        <f>0</f>
        <v>0</v>
      </c>
      <c r="H14" s="7">
        <f t="shared" si="0"/>
        <v>-1500000</v>
      </c>
    </row>
    <row r="15" spans="1:8" x14ac:dyDescent="0.3">
      <c r="A15" s="5" t="s">
        <v>172</v>
      </c>
      <c r="B15" s="16">
        <f>0</f>
        <v>0</v>
      </c>
      <c r="C15" s="16">
        <f>Supuestos!B10</f>
        <v>3563450</v>
      </c>
      <c r="D15" s="16">
        <f>0</f>
        <v>0</v>
      </c>
      <c r="E15" s="16">
        <f>0</f>
        <v>0</v>
      </c>
      <c r="F15" s="16">
        <f>0</f>
        <v>0</v>
      </c>
      <c r="G15" s="16">
        <f>0</f>
        <v>0</v>
      </c>
      <c r="H15" s="7">
        <f t="shared" si="0"/>
        <v>3563450</v>
      </c>
    </row>
    <row r="16" spans="1:8" x14ac:dyDescent="0.3">
      <c r="A16" s="5" t="s">
        <v>173</v>
      </c>
      <c r="B16" s="16">
        <f>0</f>
        <v>0</v>
      </c>
      <c r="C16" s="16">
        <f>0</f>
        <v>0</v>
      </c>
      <c r="D16" s="16">
        <f>0</f>
        <v>0</v>
      </c>
      <c r="E16" s="16">
        <f>0</f>
        <v>0</v>
      </c>
      <c r="F16" s="16">
        <f>0</f>
        <v>0</v>
      </c>
      <c r="G16" s="16">
        <f>Supuestos!B44*Supuestos!B8</f>
        <v>13572420</v>
      </c>
      <c r="H16" s="7">
        <f t="shared" si="0"/>
        <v>13572420</v>
      </c>
    </row>
    <row r="17" spans="1:8" x14ac:dyDescent="0.3">
      <c r="A17" s="25" t="s">
        <v>174</v>
      </c>
      <c r="B17" s="22">
        <f>SUM(B13:B16)</f>
        <v>-38994500</v>
      </c>
      <c r="C17" s="22">
        <f>C11+C12+SUM(C13:C16)</f>
        <v>8213560</v>
      </c>
      <c r="D17" s="22">
        <f>D11+D12+SUM(D13:D16)</f>
        <v>4650110</v>
      </c>
      <c r="E17" s="22">
        <f>E11+E12+SUM(E13:E16)</f>
        <v>3975110</v>
      </c>
      <c r="F17" s="22">
        <f>F11+F12+SUM(F13:F16)</f>
        <v>4050110</v>
      </c>
      <c r="G17" s="22">
        <f>G11+G12+SUM(G13:G16)</f>
        <v>17547530</v>
      </c>
      <c r="H17" s="22">
        <f t="shared" si="0"/>
        <v>-558080</v>
      </c>
    </row>
    <row r="19" spans="1:8" x14ac:dyDescent="0.3">
      <c r="A19" s="24" t="s">
        <v>175</v>
      </c>
    </row>
    <row r="20" spans="1:8" x14ac:dyDescent="0.3">
      <c r="A20" s="5" t="s">
        <v>176</v>
      </c>
      <c r="B20" s="16">
        <f>'Préstamo INAES'!E3</f>
        <v>33931050</v>
      </c>
      <c r="C20" s="16">
        <f>0</f>
        <v>0</v>
      </c>
      <c r="D20" s="16">
        <f>0</f>
        <v>0</v>
      </c>
      <c r="E20" s="16">
        <f>0</f>
        <v>0</v>
      </c>
      <c r="F20" s="16">
        <f>0</f>
        <v>0</v>
      </c>
      <c r="G20" s="16">
        <f>0</f>
        <v>0</v>
      </c>
      <c r="H20" s="7">
        <f>SUM(B20:G20)</f>
        <v>33931050</v>
      </c>
    </row>
    <row r="21" spans="1:8" x14ac:dyDescent="0.3">
      <c r="A21" s="5" t="s">
        <v>177</v>
      </c>
      <c r="C21" s="16">
        <f>-SUMIF('Préstamo INAES'!$B$11:$B$70,1,'Préstamo INAES'!$M$11:$M$70)</f>
        <v>-1648919.6709006801</v>
      </c>
      <c r="D21" s="16">
        <f>-SUMIF('Préstamo INAES'!$B$11:$B$70,2,'Préstamo INAES'!$M$11:$M$70)</f>
        <v>-1114771.9941812626</v>
      </c>
      <c r="E21" s="16">
        <f>-SUMIF('Préstamo INAES'!$B$11:$B$70,3,'Préstamo INAES'!$M$11:$M$70)</f>
        <v>-720973.66875791515</v>
      </c>
      <c r="F21" s="16">
        <f>-SUMIF('Préstamo INAES'!$B$11:$B$70,4,'Préstamo INAES'!$M$11:$M$70)</f>
        <v>-395225.5429182506</v>
      </c>
      <c r="G21" s="16">
        <f>-SUMIF('Préstamo INAES'!$B$11:$B$70,5,'Préstamo INAES'!$M$11:$M$70)</f>
        <v>-126532.10295275901</v>
      </c>
      <c r="H21" s="7">
        <f>SUM(B21:G21)</f>
        <v>-4006422.9797108667</v>
      </c>
    </row>
    <row r="22" spans="1:8" x14ac:dyDescent="0.3">
      <c r="A22" s="5" t="s">
        <v>178</v>
      </c>
      <c r="C22" s="16">
        <f>-SUMIF('Préstamo INAES'!$B$11:$B$70,1,'Préstamo INAES'!$N$11:$N$70)</f>
        <v>-5424769.0494848676</v>
      </c>
      <c r="D22" s="16">
        <f>-SUMIF('Préstamo INAES'!$B$11:$B$70,2,'Préstamo INAES'!$N$11:$N$70)</f>
        <v>-4849956.0333712492</v>
      </c>
      <c r="E22" s="16">
        <f>-SUMIF('Préstamo INAES'!$B$11:$B$70,3,'Préstamo INAES'!$N$11:$N$70)</f>
        <v>-4500355.4048031811</v>
      </c>
      <c r="F22" s="16">
        <f>-SUMIF('Préstamo INAES'!$B$11:$B$70,4,'Préstamo INAES'!$N$11:$N$70)</f>
        <v>-4180873.5574858687</v>
      </c>
      <c r="G22" s="16">
        <f>-SUMIF('Préstamo INAES'!$B$11:$B$70,5,'Préstamo INAES'!$N$11:$N$70)</f>
        <v>-3884071.8413102748</v>
      </c>
      <c r="H22" s="7">
        <f>SUM(B22:G22)</f>
        <v>-22840025.886455439</v>
      </c>
    </row>
    <row r="23" spans="1:8" x14ac:dyDescent="0.3">
      <c r="A23" s="5" t="s">
        <v>179</v>
      </c>
      <c r="C23" s="16">
        <f>SUMIF('Préstamo INAES'!$B$11:$B$70,1,'Préstamo INAES'!$O$11:$O$70)</f>
        <v>0</v>
      </c>
      <c r="D23" s="16">
        <f>SUMIF('Préstamo INAES'!$B$11:$B$70,2,'Préstamo INAES'!$O$11:$O$70)</f>
        <v>0</v>
      </c>
      <c r="E23" s="16">
        <f>SUMIF('Préstamo INAES'!$B$11:$B$70,3,'Préstamo INAES'!$O$11:$O$70)</f>
        <v>0</v>
      </c>
      <c r="F23" s="16">
        <f>SUMIF('Préstamo INAES'!$B$11:$B$70,4,'Préstamo INAES'!$O$11:$O$70)</f>
        <v>0</v>
      </c>
      <c r="G23" s="16">
        <f>SUMIF('Préstamo INAES'!$B$11:$B$70,5,'Préstamo INAES'!$O$11:$O$70)</f>
        <v>1291050.4338146127</v>
      </c>
      <c r="H23" s="7">
        <f>SUM(B23:G23)</f>
        <v>1291050.4338146127</v>
      </c>
    </row>
    <row r="24" spans="1:8" x14ac:dyDescent="0.3">
      <c r="A24" s="25" t="s">
        <v>180</v>
      </c>
      <c r="B24" s="22">
        <f t="shared" ref="B24:G24" si="1">B17+SUM(B20:B23)</f>
        <v>-5063450</v>
      </c>
      <c r="C24" s="22">
        <f t="shared" si="1"/>
        <v>1139871.2796144523</v>
      </c>
      <c r="D24" s="22">
        <f t="shared" si="1"/>
        <v>-1314618.0275525115</v>
      </c>
      <c r="E24" s="22">
        <f t="shared" si="1"/>
        <v>-1246219.0735610966</v>
      </c>
      <c r="F24" s="22">
        <f t="shared" si="1"/>
        <v>-525989.10040411912</v>
      </c>
      <c r="G24" s="22">
        <f t="shared" si="1"/>
        <v>14827976.48955158</v>
      </c>
      <c r="H24" s="22">
        <f>SUM(B24:G24)</f>
        <v>7817571.5676483046</v>
      </c>
    </row>
    <row r="26" spans="1:8" x14ac:dyDescent="0.3">
      <c r="A26" s="24" t="s">
        <v>181</v>
      </c>
    </row>
    <row r="27" spans="1:8" x14ac:dyDescent="0.3">
      <c r="A27" s="5" t="s">
        <v>182</v>
      </c>
      <c r="B27" s="7">
        <f>B17</f>
        <v>-38994500</v>
      </c>
      <c r="C27" s="7">
        <f>B27+C17</f>
        <v>-30780940</v>
      </c>
      <c r="D27" s="7">
        <f>C27+D17</f>
        <v>-26130830</v>
      </c>
      <c r="E27" s="7">
        <f>D27+E17</f>
        <v>-22155720</v>
      </c>
      <c r="F27" s="7">
        <f>E27+F17</f>
        <v>-18105610</v>
      </c>
      <c r="G27" s="7">
        <f>F27+G17</f>
        <v>-558080</v>
      </c>
    </row>
    <row r="28" spans="1:8" x14ac:dyDescent="0.3">
      <c r="A28" s="5" t="s">
        <v>183</v>
      </c>
      <c r="B28" s="7">
        <f>B17</f>
        <v>-38994500</v>
      </c>
      <c r="C28" s="7">
        <f>B28+C17/(1+Supuestos!$B$27)^1</f>
        <v>-31172061.904761903</v>
      </c>
      <c r="D28" s="7">
        <f>C28+D17/(1+Supuestos!$B$27)^2</f>
        <v>-26954275.056689341</v>
      </c>
      <c r="E28" s="7">
        <f>D28+E17/(1+Supuestos!$B$27)^3</f>
        <v>-23520425.580390885</v>
      </c>
      <c r="F28" s="7">
        <f>E28+F17/(1+Supuestos!$B$27)^4</f>
        <v>-20188390.060211536</v>
      </c>
      <c r="G28" s="7">
        <f>F28+G17/(1+Supuestos!$B$27)^5</f>
        <v>-6439441.1483212579</v>
      </c>
    </row>
    <row r="29" spans="1:8" x14ac:dyDescent="0.3">
      <c r="A29" s="5" t="s">
        <v>184</v>
      </c>
      <c r="B29" s="7">
        <f>B24</f>
        <v>-5063450</v>
      </c>
      <c r="C29" s="7">
        <f>B29+C24</f>
        <v>-3923578.7203855477</v>
      </c>
      <c r="D29" s="7">
        <f>C29+D24</f>
        <v>-5238196.7479380593</v>
      </c>
      <c r="E29" s="7">
        <f>D29+E24</f>
        <v>-6484415.8214991558</v>
      </c>
      <c r="F29" s="7">
        <f>E29+F24</f>
        <v>-7010404.921903275</v>
      </c>
      <c r="G29" s="7">
        <f>F29+G24</f>
        <v>7817571.5676483046</v>
      </c>
    </row>
    <row r="30" spans="1:8" x14ac:dyDescent="0.3">
      <c r="A30" s="5" t="s">
        <v>185</v>
      </c>
      <c r="B30" s="7">
        <f>B24</f>
        <v>-5063450</v>
      </c>
      <c r="C30" s="7">
        <f>B30+C24/(1+Supuestos!$B$27)^1</f>
        <v>-3977858.3051290931</v>
      </c>
      <c r="D30" s="7">
        <f>C30+D24/(1+Supuestos!$B$27)^2</f>
        <v>-5170255.6090315981</v>
      </c>
      <c r="E30" s="7">
        <f>D30+E24/(1+Supuestos!$B$27)^3</f>
        <v>-6246786.500780737</v>
      </c>
      <c r="F30" s="7">
        <f>E30+F24/(1+Supuestos!$B$27)^4</f>
        <v>-6679519.0353967613</v>
      </c>
      <c r="G30" s="7">
        <f>F30+G24/(1+Supuestos!$B$27)^5</f>
        <v>4938588.5399460262</v>
      </c>
    </row>
    <row r="31" spans="1:8" x14ac:dyDescent="0.3">
      <c r="A31" s="2" t="s">
        <v>186</v>
      </c>
      <c r="C31" s="27" t="str">
        <f>IF(AND(B27&lt;0,C27&gt;=0),0+(-B27)/(C17),"")</f>
        <v/>
      </c>
      <c r="D31" s="27" t="str">
        <f>IF(AND(C27&lt;0,D27&gt;=0),1+(-C27)/(D17),"")</f>
        <v/>
      </c>
      <c r="E31" s="27" t="str">
        <f>IF(AND(D27&lt;0,E27&gt;=0),2+(-D27)/(E17),"")</f>
        <v/>
      </c>
      <c r="F31" s="27" t="str">
        <f>IF(AND(E27&lt;0,F27&gt;=0),3+(-E27)/(F17),"")</f>
        <v/>
      </c>
      <c r="G31" s="27" t="str">
        <f>IF(AND(F27&lt;0,G27&gt;=0),4+(-F27)/(G17),"")</f>
        <v/>
      </c>
    </row>
    <row r="32" spans="1:8" x14ac:dyDescent="0.3">
      <c r="A32" s="2" t="s">
        <v>187</v>
      </c>
      <c r="C32" s="27" t="str">
        <f>IF(AND(B28&lt;0,C28&gt;=0),0+(-B28)/(C17/(1+Supuestos!$B$27)^1),"")</f>
        <v/>
      </c>
      <c r="D32" s="27" t="str">
        <f>IF(AND(C28&lt;0,D28&gt;=0),1+(-C28)/(D17/(1+Supuestos!$B$27)^2),"")</f>
        <v/>
      </c>
      <c r="E32" s="27" t="str">
        <f>IF(AND(D28&lt;0,E28&gt;=0),2+(-D28)/(E17/(1+Supuestos!$B$27)^3),"")</f>
        <v/>
      </c>
      <c r="F32" s="27" t="str">
        <f>IF(AND(E28&lt;0,F28&gt;=0),3+(-E28)/(F17/(1+Supuestos!$B$27)^4),"")</f>
        <v/>
      </c>
      <c r="G32" s="27" t="str">
        <f>IF(AND(F28&lt;0,G28&gt;=0),4+(-F28)/(G17/(1+Supuestos!$B$27)^5),"")</f>
        <v/>
      </c>
    </row>
    <row r="33" spans="1:7" x14ac:dyDescent="0.3">
      <c r="A33" s="2" t="s">
        <v>188</v>
      </c>
      <c r="C33" s="27" t="str">
        <f>IF(AND(B29&lt;0,C29&gt;=0),0+(-B29)/(C24),"")</f>
        <v/>
      </c>
      <c r="D33" s="27" t="str">
        <f>IF(AND(C29&lt;0,D29&gt;=0),1+(-C29)/(D24),"")</f>
        <v/>
      </c>
      <c r="E33" s="27" t="str">
        <f>IF(AND(D29&lt;0,E29&gt;=0),2+(-D29)/(E24),"")</f>
        <v/>
      </c>
      <c r="F33" s="27" t="str">
        <f>IF(AND(E29&lt;0,F29&gt;=0),3+(-E29)/(F24),"")</f>
        <v/>
      </c>
      <c r="G33" s="27">
        <f>IF(AND(F29&lt;0,G29&gt;=0),4+(-F29)/(G24),"")</f>
        <v>4.472782306260271</v>
      </c>
    </row>
    <row r="34" spans="1:7" x14ac:dyDescent="0.3">
      <c r="A34" s="2" t="s">
        <v>189</v>
      </c>
      <c r="C34" s="27" t="str">
        <f>IF(AND(B30&lt;0,C30&gt;=0),0+(-B30)/(C24/(1+Supuestos!$B$27)^1),"")</f>
        <v/>
      </c>
      <c r="D34" s="27" t="str">
        <f>IF(AND(C30&lt;0,D30&gt;=0),1+(-C30)/(D24/(1+Supuestos!$B$27)^2),"")</f>
        <v/>
      </c>
      <c r="E34" s="27" t="str">
        <f>IF(AND(D30&lt;0,E30&gt;=0),2+(-D30)/(E24/(1+Supuestos!$B$27)^3),"")</f>
        <v/>
      </c>
      <c r="F34" s="27" t="str">
        <f>IF(AND(E30&lt;0,F30&gt;=0),3+(-E30)/(F24/(1+Supuestos!$B$27)^4),"")</f>
        <v/>
      </c>
      <c r="G34" s="27">
        <f>IF(AND(F30&lt;0,G30&gt;=0),4+(-F30)/(G24/(1+Supuestos!$B$27)^5),"")</f>
        <v>4.5749231526804559</v>
      </c>
    </row>
    <row r="36" spans="1:7" x14ac:dyDescent="0.3">
      <c r="A36" s="3" t="s">
        <v>190</v>
      </c>
      <c r="B36" s="23" t="s">
        <v>191</v>
      </c>
      <c r="C36" s="23" t="s">
        <v>192</v>
      </c>
    </row>
    <row r="37" spans="1:7" x14ac:dyDescent="0.3">
      <c r="A37" s="5" t="s">
        <v>193</v>
      </c>
      <c r="B37" s="28">
        <f>Supuestos!$B$27</f>
        <v>0.05</v>
      </c>
      <c r="C37" s="28">
        <f>Supuestos!$B$27</f>
        <v>0.05</v>
      </c>
    </row>
    <row r="38" spans="1:7" x14ac:dyDescent="0.3">
      <c r="A38" s="5" t="s">
        <v>194</v>
      </c>
      <c r="B38" s="29">
        <f>B17+NPV(Supuestos!$B$27,C17:G17)</f>
        <v>-6439441.1483212598</v>
      </c>
      <c r="C38" s="29">
        <f>B24+NPV(Supuestos!$B$27,C24:G24)</f>
        <v>4938588.5399460234</v>
      </c>
    </row>
    <row r="39" spans="1:7" x14ac:dyDescent="0.3">
      <c r="A39" s="5" t="s">
        <v>195</v>
      </c>
      <c r="B39" s="28">
        <f>IFERROR(IRR(B17:G17),"No existe")</f>
        <v>-4.1388973869916912E-3</v>
      </c>
      <c r="C39" s="28">
        <f>IFERROR(IRR(B24:G24),"No existe")</f>
        <v>0.1980378356380561</v>
      </c>
    </row>
    <row r="40" spans="1:7" x14ac:dyDescent="0.3">
      <c r="A40" s="5" t="s">
        <v>196</v>
      </c>
      <c r="B40" s="28">
        <f>MIRR(B17:G17,Supuestos!$B$27,Supuestos!$B$27)</f>
        <v>1.2773489843806551E-2</v>
      </c>
      <c r="C40" s="28">
        <f>MIRR(B24:G24,Supuestos!$B$27,Supuestos!$B$27)</f>
        <v>0.15863277446295054</v>
      </c>
    </row>
    <row r="41" spans="1:7" x14ac:dyDescent="0.3">
      <c r="A41" s="5" t="s">
        <v>197</v>
      </c>
      <c r="B41" s="30" t="str">
        <f>IF(COUNT(C31:G31)=0,"No se recupera",MIN(C31:G31))</f>
        <v>No se recupera</v>
      </c>
      <c r="C41" s="30">
        <f>IF(COUNT(C33:G33)=0,"No se recupera",MIN(C33:G33))</f>
        <v>4.472782306260271</v>
      </c>
    </row>
    <row r="42" spans="1:7" x14ac:dyDescent="0.3">
      <c r="A42" s="5" t="s">
        <v>198</v>
      </c>
      <c r="B42" s="30" t="str">
        <f>IF(COUNT(C32:G32)=0,"No se recupera",MIN(C32:G32))</f>
        <v>No se recupera</v>
      </c>
      <c r="C42" s="30">
        <f>IF(COUNT(C34:G34)=0,"No se recupera",MIN(C34:G34))</f>
        <v>4.5749231526804559</v>
      </c>
    </row>
    <row r="44" spans="1:7" x14ac:dyDescent="0.3">
      <c r="A44" s="21" t="s">
        <v>199</v>
      </c>
      <c r="B44" s="26">
        <f>C38-B38</f>
        <v>11378029.688267283</v>
      </c>
    </row>
    <row r="46" spans="1:7" x14ac:dyDescent="0.3">
      <c r="A46" s="2" t="s">
        <v>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showGridLines="0" workbookViewId="0"/>
  </sheetViews>
  <sheetFormatPr baseColWidth="10" defaultColWidth="8.88671875" defaultRowHeight="14.4" x14ac:dyDescent="0.3"/>
  <cols>
    <col min="1" max="1" width="80" customWidth="1"/>
    <col min="2" max="4" width="18" customWidth="1"/>
  </cols>
  <sheetData>
    <row r="1" spans="1:4" ht="16.8" x14ac:dyDescent="0.3">
      <c r="A1" s="1" t="s">
        <v>201</v>
      </c>
    </row>
    <row r="2" spans="1:4" x14ac:dyDescent="0.3">
      <c r="A2" s="2" t="s">
        <v>202</v>
      </c>
    </row>
    <row r="4" spans="1:4" x14ac:dyDescent="0.3">
      <c r="A4" s="31" t="s">
        <v>203</v>
      </c>
      <c r="B4" s="23" t="s">
        <v>204</v>
      </c>
      <c r="C4" s="23" t="s">
        <v>205</v>
      </c>
      <c r="D4" s="23" t="s">
        <v>206</v>
      </c>
    </row>
    <row r="5" spans="1:4" x14ac:dyDescent="0.3">
      <c r="A5" s="5" t="s">
        <v>207</v>
      </c>
      <c r="B5" s="7">
        <v>-6439441</v>
      </c>
      <c r="C5" s="7">
        <v>4938589</v>
      </c>
      <c r="D5" s="12">
        <v>0.19803783563805641</v>
      </c>
    </row>
    <row r="6" spans="1:4" x14ac:dyDescent="0.3">
      <c r="A6" s="5" t="s">
        <v>208</v>
      </c>
      <c r="B6" s="7">
        <v>25252328</v>
      </c>
      <c r="C6" s="7">
        <v>36630358</v>
      </c>
      <c r="D6" s="12">
        <v>1.5216278197679429</v>
      </c>
    </row>
    <row r="7" spans="1:4" x14ac:dyDescent="0.3">
      <c r="A7" s="5" t="s">
        <v>209</v>
      </c>
      <c r="B7" s="7">
        <v>-11115276</v>
      </c>
      <c r="C7" s="7">
        <v>262754</v>
      </c>
      <c r="D7" s="12">
        <v>5.7384358346514008E-2</v>
      </c>
    </row>
    <row r="8" spans="1:4" x14ac:dyDescent="0.3">
      <c r="A8" s="5" t="s">
        <v>210</v>
      </c>
      <c r="B8" s="7">
        <v>-17073787</v>
      </c>
      <c r="C8" s="7">
        <v>-5695758</v>
      </c>
      <c r="D8" s="12">
        <v>-0.40683201978617473</v>
      </c>
    </row>
    <row r="9" spans="1:4" x14ac:dyDescent="0.3">
      <c r="A9" s="5" t="s">
        <v>211</v>
      </c>
      <c r="B9" s="7">
        <v>-10427321</v>
      </c>
      <c r="C9" s="7">
        <v>950709</v>
      </c>
      <c r="D9" s="12">
        <v>8.4660598116503727E-2</v>
      </c>
    </row>
    <row r="10" spans="1:4" x14ac:dyDescent="0.3">
      <c r="A10" s="5" t="s">
        <v>212</v>
      </c>
      <c r="B10" s="7">
        <v>-2451561</v>
      </c>
      <c r="C10" s="7">
        <v>8926468</v>
      </c>
      <c r="D10" s="12">
        <v>0.28156464021555933</v>
      </c>
    </row>
    <row r="11" spans="1:4" x14ac:dyDescent="0.3">
      <c r="A11" s="5" t="s">
        <v>213</v>
      </c>
      <c r="B11" s="7">
        <v>-4264083</v>
      </c>
      <c r="C11" s="7">
        <v>5987009</v>
      </c>
      <c r="D11" s="12">
        <v>0.19803783563805641</v>
      </c>
    </row>
    <row r="12" spans="1:4" x14ac:dyDescent="0.3">
      <c r="A12" s="5" t="s">
        <v>214</v>
      </c>
      <c r="B12" s="7">
        <v>-11036087</v>
      </c>
      <c r="C12" s="7">
        <v>2797782</v>
      </c>
      <c r="D12" s="12">
        <v>0.19803783563805641</v>
      </c>
    </row>
    <row r="13" spans="1:4" x14ac:dyDescent="0.3">
      <c r="A13" s="5" t="s">
        <v>215</v>
      </c>
      <c r="B13" s="7">
        <v>-6439441</v>
      </c>
      <c r="C13" s="7">
        <v>2307787</v>
      </c>
      <c r="D13" s="12">
        <v>0.1186635629284091</v>
      </c>
    </row>
    <row r="14" spans="1:4" x14ac:dyDescent="0.3">
      <c r="A14" s="5" t="s">
        <v>216</v>
      </c>
      <c r="B14" s="7">
        <v>-6439441</v>
      </c>
      <c r="C14" s="7">
        <v>3927017</v>
      </c>
      <c r="D14" s="12">
        <v>0.17294052121099701</v>
      </c>
    </row>
    <row r="15" spans="1:4" x14ac:dyDescent="0.3">
      <c r="A15" s="5" t="s">
        <v>217</v>
      </c>
      <c r="B15" s="7">
        <v>-9110743</v>
      </c>
      <c r="C15" s="7">
        <v>3405089</v>
      </c>
      <c r="D15" s="12">
        <v>0.14116651651502321</v>
      </c>
    </row>
    <row r="16" spans="1:4" x14ac:dyDescent="0.3">
      <c r="A16" s="5" t="s">
        <v>218</v>
      </c>
      <c r="B16" s="7">
        <v>-11634813</v>
      </c>
      <c r="C16" s="7">
        <v>-256783</v>
      </c>
      <c r="D16" s="12">
        <v>4.2834621364597918E-2</v>
      </c>
    </row>
    <row r="17" spans="1:4" x14ac:dyDescent="0.3">
      <c r="A17" s="5" t="s">
        <v>219</v>
      </c>
      <c r="B17" s="7">
        <v>-8479304</v>
      </c>
      <c r="C17" s="7">
        <v>2898726</v>
      </c>
      <c r="D17" s="12">
        <v>0.13638057412219651</v>
      </c>
    </row>
    <row r="18" spans="1:4" x14ac:dyDescent="0.3">
      <c r="A18" s="5" t="s">
        <v>220</v>
      </c>
      <c r="B18" s="7">
        <v>-5627783</v>
      </c>
      <c r="C18" s="7">
        <v>5750246</v>
      </c>
      <c r="D18" s="12">
        <v>0.22429775454477779</v>
      </c>
    </row>
    <row r="20" spans="1:4" x14ac:dyDescent="0.3">
      <c r="A20" s="3" t="s">
        <v>221</v>
      </c>
    </row>
    <row r="21" spans="1:4" x14ac:dyDescent="0.3">
      <c r="A21" s="5" t="s">
        <v>222</v>
      </c>
      <c r="B21" s="12">
        <v>0.2142</v>
      </c>
    </row>
    <row r="22" spans="1:4" x14ac:dyDescent="0.3">
      <c r="A22" s="5" t="s">
        <v>223</v>
      </c>
      <c r="B22" s="7">
        <v>573946</v>
      </c>
    </row>
    <row r="23" spans="1:4" x14ac:dyDescent="0.3">
      <c r="A23" s="5" t="s">
        <v>224</v>
      </c>
      <c r="B23" s="7">
        <v>354943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Supuestos</vt:lpstr>
      <vt:lpstr>Préstamo INAES</vt:lpstr>
      <vt:lpstr>Comparación</vt:lpstr>
      <vt:lpstr>EERR</vt:lpstr>
      <vt:lpstr>Flujo de fondos</vt:lpstr>
      <vt:lpstr>Sensibilidad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Oyarbide</cp:lastModifiedBy>
  <dcterms:created xsi:type="dcterms:W3CDTF">2026-09-28T22:55:49Z</dcterms:created>
  <dcterms:modified xsi:type="dcterms:W3CDTF">2026-09-28T23:03:51Z</dcterms:modified>
</cp:coreProperties>
</file>