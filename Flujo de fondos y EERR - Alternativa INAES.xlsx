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puestos" sheetId="1" state="visible" r:id="rId3"/>
    <sheet name="Préstamo INAES" sheetId="2" state="visible" r:id="rId4"/>
    <sheet name="Comparación" sheetId="3" state="visible" r:id="rId5"/>
    <sheet name="EERR" sheetId="4" state="visible" r:id="rId6"/>
    <sheet name="Flujo de fondos" sheetId="5" state="visible" r:id="rId7"/>
    <sheet name="Sensibilida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<sst xmlns="http://schemas.openxmlformats.org/spreadsheetml/2006/main" count="255" uniqueCount="213">
  <si>
    <t xml:space="preserve">Alternativa 3: utilitario propio con financiamiento INAES. Supuestos del modelo</t>
  </si>
  <si>
    <t xml:space="preserve">Moneda constante de septiembre de 2026 (momento 0). Texto azul: dato de entrada. Fondo amarillo: supuesto sobre la cooperativa, a reemplazar por el dato relevado. Texto negro: fórmula.</t>
  </si>
  <si>
    <t xml:space="preserve">A. Datos externos relevados</t>
  </si>
  <si>
    <t xml:space="preserve">Precio Dongfeng Captain W 412 CD sin IVA</t>
  </si>
  <si>
    <t xml:space="preserve">USD</t>
  </si>
  <si>
    <t xml:space="preserve">Lista de precios Magma/Dongfeng 01/25 (precio público sugerido).</t>
  </si>
  <si>
    <t xml:space="preserve">Precio Dongfeng Captain W 412 CD con IVA (10,5 %)</t>
  </si>
  <si>
    <t xml:space="preserve">Ídem. Pagadero en pesos al tipo vendedor BNA del día anterior al pago.</t>
  </si>
  <si>
    <t xml:space="preserve">Tipo de cambio BNA vendedor</t>
  </si>
  <si>
    <t xml:space="preserve">$/USD</t>
  </si>
  <si>
    <t xml:space="preserve">El Cronista, 28/09/2026.</t>
  </si>
  <si>
    <t xml:space="preserve">Precio neto en pesos (monto financiable)</t>
  </si>
  <si>
    <t xml:space="preserve">$</t>
  </si>
  <si>
    <t xml:space="preserve">El INAES no financia impuestos (Res. 1287/15, Anexo I, pto. 4).</t>
  </si>
  <si>
    <t xml:space="preserve">Precio con IVA en pesos</t>
  </si>
  <si>
    <t xml:space="preserve">IVA de la compra (crédito fiscal)</t>
  </si>
  <si>
    <t xml:space="preserve">Recuperable: la cooperativa es responsable inscripta.</t>
  </si>
  <si>
    <t xml:space="preserve">Tasa del préstamo INAES (efectiva anual)</t>
  </si>
  <si>
    <t xml:space="preserve">Res. INAES 1287/15, Anexo I, pto. 5: 6 % anual efectivo sobre saldos, en pesos.</t>
  </si>
  <si>
    <t xml:space="preserve">Tasa del préstamo INAES (efectiva mensual)</t>
  </si>
  <si>
    <t xml:space="preserve">Bonificación de intereses por pago puntual</t>
  </si>
  <si>
    <t xml:space="preserve">Res. 1287/15: 50 % del total de intereses, descontado de las últimas cuotas.</t>
  </si>
  <si>
    <t xml:space="preserve">Cantidad de cuotas mensuales</t>
  </si>
  <si>
    <t xml:space="preserve">Máximo admitido por la Res. 1287/15. Sin período de gracia.</t>
  </si>
  <si>
    <t xml:space="preserve">Alícuota de patente (pick-up, código B85)</t>
  </si>
  <si>
    <t xml:space="preserve">API Santa Fe, Patente Única sobre Vehículos, año fiscal 2026.</t>
  </si>
  <si>
    <t xml:space="preserve">Valuación fiscal supuesta del rodado</t>
  </si>
  <si>
    <t xml:space="preserve">Se supone igual al precio con IVA y constante en términos reales (criterio conservador).</t>
  </si>
  <si>
    <t xml:space="preserve">Revisión técnica obligatoria (por revisión)</t>
  </si>
  <si>
    <t xml:space="preserve">Tarifa APSV Santa Fe 2026. Primera a los 3 años, luego cada 2 años.</t>
  </si>
  <si>
    <t xml:space="preserve">Inflación mensual octubre 2026</t>
  </si>
  <si>
    <t xml:space="preserve">REM BCRA agosto 2026 (mediana).</t>
  </si>
  <si>
    <t xml:space="preserve">Inflación mensual noviembre 2026</t>
  </si>
  <si>
    <t xml:space="preserve">Inflación mensual diciembre 2026</t>
  </si>
  <si>
    <t xml:space="preserve">Inflación anual 2027</t>
  </si>
  <si>
    <t xml:space="preserve">Inflación anual 2028</t>
  </si>
  <si>
    <t xml:space="preserve">Inflación anual 2029 en adelante</t>
  </si>
  <si>
    <t xml:space="preserve">El REM no proyecta más allá de 2028: se mantiene la última expectativa disponible.</t>
  </si>
  <si>
    <t xml:space="preserve">TAMAR bancos privados septiembre 2026 (TNA)</t>
  </si>
  <si>
    <t xml:space="preserve">REM BCRA agosto 2026.</t>
  </si>
  <si>
    <t xml:space="preserve">Inflación esperada próximos 12 meses</t>
  </si>
  <si>
    <t xml:space="preserve">Tasa real implícita (TAMAR frente a inflación esperada)</t>
  </si>
  <si>
    <t xml:space="preserve">Costo de oportunidad real de los fondos de la cooperativa.</t>
  </si>
  <si>
    <t xml:space="preserve">Tasa de descuento real adoptada</t>
  </si>
  <si>
    <t xml:space="preserve">Redondeo de B26. Sensibilidad entre 3 % y 10 %.</t>
  </si>
  <si>
    <t xml:space="preserve">Seguro mensual del utilitario (uso comercial)</t>
  </si>
  <si>
    <t xml:space="preserve">Dentro del rango relevado para pick-ups en terceros completo ($120.000 a $170.000 por mes, 2026).</t>
  </si>
  <si>
    <t xml:space="preserve">B. Supuestos sobre la cooperativa (a validar con registros internos)</t>
  </si>
  <si>
    <t xml:space="preserve">Pago mensual por el vehículo del asociado 1 (auto)</t>
  </si>
  <si>
    <t xml:space="preserve">Anteproyecto, Capítulo I. Incluye las reparaciones del vehículo.</t>
  </si>
  <si>
    <t xml:space="preserve">Pago mensual por el vehículo del asociado 2 (4x4)</t>
  </si>
  <si>
    <t xml:space="preserve">Combustible vehículo 1 (mensual)</t>
  </si>
  <si>
    <t xml:space="preserve">Supuesto: promedio de los últimos 12 meses.</t>
  </si>
  <si>
    <t xml:space="preserve">Combustible vehículo 2, 4x4 (mensual)</t>
  </si>
  <si>
    <t xml:space="preserve">Proporción del pago del vehículo 2 que se evita</t>
  </si>
  <si>
    <t xml:space="preserve">Supuesto: el utilitario reemplaza por completo a la 4x4; el vehículo 1 continúa.</t>
  </si>
  <si>
    <t xml:space="preserve">Combustible mensual del utilitario</t>
  </si>
  <si>
    <t xml:space="preserve">Supuesto: igual al de la 4x4 reemplazada (mismos recorridos). No hay dato de consumo publicado.</t>
  </si>
  <si>
    <t xml:space="preserve">Mantenimiento del utilitario, años 1 y 2 (anual)</t>
  </si>
  <si>
    <t xml:space="preserve">Supuesto: services oficiales en garantía y neumáticos.</t>
  </si>
  <si>
    <t xml:space="preserve">Mantenimiento del utilitario, años 3 a 5 (anual)</t>
  </si>
  <si>
    <t xml:space="preserve">Supuesto: fuera de garantía, según registro histórico de reparaciones.</t>
  </si>
  <si>
    <t xml:space="preserve">Gastos iniciales (patentamiento, gestión y garantías)</t>
  </si>
  <si>
    <t xml:space="preserve">Supuesto: presupuesto de gestoría, escribanía y certificaciones contables.</t>
  </si>
  <si>
    <t xml:space="preserve">Valor residual al año 5 (% del precio neto)</t>
  </si>
  <si>
    <t xml:space="preserve">Supuesto de valor comercial. Sensibilidad entre 0 % y 55 %.</t>
  </si>
  <si>
    <t xml:space="preserve">Proporción del precio neto financiada por INAES</t>
  </si>
  <si>
    <t xml:space="preserve">Supuesto: la solicitud cubre el 100 % del precio neto.</t>
  </si>
  <si>
    <t xml:space="preserve">Vida útil contable del rodado (años)</t>
  </si>
  <si>
    <t xml:space="preserve">años</t>
  </si>
  <si>
    <t xml:space="preserve">Criterio contable habitual para rodados; coincide con el horizonte.</t>
  </si>
  <si>
    <t xml:space="preserve">Cuadro de amortización del préstamo INAES (sistema francés) y conversión a moneda constante</t>
  </si>
  <si>
    <t xml:space="preserve">Monto del préstamo</t>
  </si>
  <si>
    <t xml:space="preserve">Tasa efectiva mensual</t>
  </si>
  <si>
    <t xml:space="preserve">Cuota mensual nominal fija</t>
  </si>
  <si>
    <t xml:space="preserve">Intereses totales</t>
  </si>
  <si>
    <t xml:space="preserve">Bonificación total (se descuenta de las últimas cuotas)</t>
  </si>
  <si>
    <t xml:space="preserve">Mes</t>
  </si>
  <si>
    <t xml:space="preserve">Año</t>
  </si>
  <si>
    <t xml:space="preserve">Inflación mensual</t>
  </si>
  <si>
    <t xml:space="preserve">Índice de precios</t>
  </si>
  <si>
    <t xml:space="preserve">Saldo inicial</t>
  </si>
  <si>
    <t xml:space="preserve">Interés</t>
  </si>
  <si>
    <t xml:space="preserve">Amortización</t>
  </si>
  <si>
    <t xml:space="preserve">Cuota</t>
  </si>
  <si>
    <t xml:space="preserve">Bonificación aplicada</t>
  </si>
  <si>
    <t xml:space="preserve">Pago neto</t>
  </si>
  <si>
    <t xml:space="preserve">Saldo final</t>
  </si>
  <si>
    <t xml:space="preserve">Pago (moneda constante)</t>
  </si>
  <si>
    <t xml:space="preserve">Interés (moneda constante)</t>
  </si>
  <si>
    <t xml:space="preserve">Amortización (moneda constante)</t>
  </si>
  <si>
    <t xml:space="preserve">Bonificación (moneda constante)</t>
  </si>
  <si>
    <t xml:space="preserve">RECPAM del préstamo</t>
  </si>
  <si>
    <t xml:space="preserve">Total</t>
  </si>
  <si>
    <t xml:space="preserve">Moneda constante: importe nominal dividido por el índice de precios del mes (base septiembre 2026 = 1). RECPAM: ganancia por la pérdida de poder adquisitivo del saldo adeudado en pesos.</t>
  </si>
  <si>
    <t xml:space="preserve">Costos de transporte: situación actual frente a la alternativa 3 (moneda constante de septiembre 2026)</t>
  </si>
  <si>
    <t xml:space="preserve">Concepto</t>
  </si>
  <si>
    <t xml:space="preserve">Año 0</t>
  </si>
  <si>
    <t xml:space="preserve">Año 1</t>
  </si>
  <si>
    <t xml:space="preserve">Año 2</t>
  </si>
  <si>
    <t xml:space="preserve">Año 3</t>
  </si>
  <si>
    <t xml:space="preserve">Año 4</t>
  </si>
  <si>
    <t xml:space="preserve">Año 5</t>
  </si>
  <si>
    <t xml:space="preserve">Situación actual (vehículos aportados por asociados)</t>
  </si>
  <si>
    <t xml:space="preserve">Pago por el vehículo 1 (auto)</t>
  </si>
  <si>
    <t xml:space="preserve">Pago por el vehículo 2 (4x4)</t>
  </si>
  <si>
    <t xml:space="preserve">Combustible vehículos 1 y 2</t>
  </si>
  <si>
    <t xml:space="preserve">Total situación actual</t>
  </si>
  <si>
    <t xml:space="preserve">Alternativa 3 (utilitario propio financiado por INAES)</t>
  </si>
  <si>
    <t xml:space="preserve">Pago por el vehículo 1 (continúa)</t>
  </si>
  <si>
    <t xml:space="preserve">Pago remanente por el vehículo 2</t>
  </si>
  <si>
    <t xml:space="preserve">Combustible vehículo 1 y utilitario</t>
  </si>
  <si>
    <t xml:space="preserve">Seguro del utilitario</t>
  </si>
  <si>
    <t xml:space="preserve">Patente del utilitario</t>
  </si>
  <si>
    <t xml:space="preserve">Mantenimiento del utilitario</t>
  </si>
  <si>
    <t xml:space="preserve">Revisión técnica obligatoria</t>
  </si>
  <si>
    <t xml:space="preserve">Cuotas INAES pagadas (moneda constante)</t>
  </si>
  <si>
    <t xml:space="preserve">Aporte propio inicial (precio con IVA + gastos − préstamo)</t>
  </si>
  <si>
    <t xml:space="preserve">Recupero del IVA de la compra</t>
  </si>
  <si>
    <t xml:space="preserve">Valor residual del utilitario (se descuenta del costo)</t>
  </si>
  <si>
    <t xml:space="preserve">Total alternativa 3</t>
  </si>
  <si>
    <t xml:space="preserve">Ahorro de la alternativa 3 (actual − alternativa)</t>
  </si>
  <si>
    <t xml:space="preserve">Valor actual de costos (VAC) situación actual</t>
  </si>
  <si>
    <t xml:space="preserve">Valor actual de costos (VAC) alternativa 3</t>
  </si>
  <si>
    <t xml:space="preserve">Diferencia de VAC a favor de la alternativa 3</t>
  </si>
  <si>
    <t xml:space="preserve">La situación actual no tiene erogaciones en el año 0. La diferencia de VAC coincide con el VAN del flujo del inversionista.</t>
  </si>
  <si>
    <t xml:space="preserve">Estado de resultados proyectado incremental de la alternativa 3 (moneda constante de septiembre 2026)</t>
  </si>
  <si>
    <t xml:space="preserve">Diferencia entre la alternativa 3 y la situación actual. Los ahorros de costos se exponen como ingresos diferenciales.</t>
  </si>
  <si>
    <t xml:space="preserve">Ahorros de costos</t>
  </si>
  <si>
    <t xml:space="preserve">Pagos evitados por el vehículo 2 (4x4)</t>
  </si>
  <si>
    <t xml:space="preserve">Diferencia de combustible</t>
  </si>
  <si>
    <t xml:space="preserve">Total ahorros de costos</t>
  </si>
  <si>
    <t xml:space="preserve">Costos operativos del utilitario</t>
  </si>
  <si>
    <t xml:space="preserve">Seguro</t>
  </si>
  <si>
    <t xml:space="preserve">Patente</t>
  </si>
  <si>
    <t xml:space="preserve">Mantenimiento</t>
  </si>
  <si>
    <t xml:space="preserve">Total costos operativos</t>
  </si>
  <si>
    <t xml:space="preserve">Resultado operativo antes de amortizaciones</t>
  </si>
  <si>
    <t xml:space="preserve">Amortización del utilitario</t>
  </si>
  <si>
    <t xml:space="preserve">Resultado operativo</t>
  </si>
  <si>
    <t xml:space="preserve">Resultado financiero</t>
  </si>
  <si>
    <t xml:space="preserve">Intereses del préstamo INAES (moneda constante)</t>
  </si>
  <si>
    <t xml:space="preserve">RECPAM generado por el préstamo</t>
  </si>
  <si>
    <t xml:space="preserve">Bonificación de intereses obtenida</t>
  </si>
  <si>
    <t xml:space="preserve">Gastos iniciales de gestión, patentamiento y garantías</t>
  </si>
  <si>
    <t xml:space="preserve">Total resultado financiero</t>
  </si>
  <si>
    <t xml:space="preserve">Resultado por venta del utilitario (valor residual − valor contable)</t>
  </si>
  <si>
    <t xml:space="preserve">Resultado antes de impuestos</t>
  </si>
  <si>
    <t xml:space="preserve">Impuesto a las ganancias (exenta, art. 26 inc. d)</t>
  </si>
  <si>
    <t xml:space="preserve">Resultado neto incremental</t>
  </si>
  <si>
    <t xml:space="preserve">El IVA no integra el estado de resultados: la cooperativa es responsable inscripta y lo computa como crédito fiscal. El combustible del utilitario se supone igual al de la 4x4 reemplazada.</t>
  </si>
  <si>
    <t xml:space="preserve">Flujo de fondos de la alternativa 3 (moneda constante de septiembre 2026)</t>
  </si>
  <si>
    <t xml:space="preserve">Estructura de Sapag Chain (2011). Flujo incremental frente a la situación actual.</t>
  </si>
  <si>
    <t xml:space="preserve">Flujo del proyecto (sin financiamiento)</t>
  </si>
  <si>
    <t xml:space="preserve">Amortización (gasto no desembolsable)</t>
  </si>
  <si>
    <t xml:space="preserve">Utilidad antes de impuesto</t>
  </si>
  <si>
    <t xml:space="preserve">Impuesto a las ganancias (exenta)</t>
  </si>
  <si>
    <t xml:space="preserve">Utilidad neta</t>
  </si>
  <si>
    <t xml:space="preserve">Ajuste por amortización</t>
  </si>
  <si>
    <t xml:space="preserve">Inversión en el utilitario (precio con IVA)</t>
  </si>
  <si>
    <t xml:space="preserve">Recupero del IVA (crédito fiscal)</t>
  </si>
  <si>
    <t xml:space="preserve">Valor de desecho (método comercial)</t>
  </si>
  <si>
    <t xml:space="preserve">Flujo de fondos del proyecto</t>
  </si>
  <si>
    <t xml:space="preserve">Financiamiento INAES</t>
  </si>
  <si>
    <t xml:space="preserve">Préstamo recibido</t>
  </si>
  <si>
    <t xml:space="preserve">Intereses pagados (moneda constante)</t>
  </si>
  <si>
    <t xml:space="preserve">Amortización del capital (moneda constante)</t>
  </si>
  <si>
    <t xml:space="preserve">Bonificación aplicada a las últimas cuotas</t>
  </si>
  <si>
    <t xml:space="preserve">Flujo de fondos del inversionista (cooperativa)</t>
  </si>
  <si>
    <t xml:space="preserve">Flujos acumulados</t>
  </si>
  <si>
    <t xml:space="preserve">Proyecto: acumulado</t>
  </si>
  <si>
    <t xml:space="preserve">Proyecto: acumulado descontado</t>
  </si>
  <si>
    <t xml:space="preserve">Inversionista: acumulado</t>
  </si>
  <si>
    <t xml:space="preserve">Inversionista: acumulado descontado</t>
  </si>
  <si>
    <t xml:space="preserve">Auxiliar: recupero del proyecto</t>
  </si>
  <si>
    <t xml:space="preserve">Auxiliar: recupero descontado del proyecto</t>
  </si>
  <si>
    <t xml:space="preserve">Auxiliar: recupero del inversionista</t>
  </si>
  <si>
    <t xml:space="preserve">Auxiliar: recupero descontado del inversionista</t>
  </si>
  <si>
    <t xml:space="preserve">Indicadores (tasa de descuento real)</t>
  </si>
  <si>
    <t xml:space="preserve">Proyecto</t>
  </si>
  <si>
    <t xml:space="preserve">Inversionista</t>
  </si>
  <si>
    <t xml:space="preserve">Tasa de descuento real anual</t>
  </si>
  <si>
    <t xml:space="preserve">Valor actual neto (VAN)</t>
  </si>
  <si>
    <t xml:space="preserve">Tasa interna de retorno (TIR)</t>
  </si>
  <si>
    <t xml:space="preserve">TIR modificada (reinversión a la tasa de descuento)</t>
  </si>
  <si>
    <t xml:space="preserve">Período de recupero simple (años)</t>
  </si>
  <si>
    <t xml:space="preserve">Período de recupero descontado (años)</t>
  </si>
  <si>
    <t xml:space="preserve">Valor del financiamiento INAES (VAN inversionista − VAN proyecto)</t>
  </si>
  <si>
    <t xml:space="preserve">El flujo del inversionista es negativo en los años 0 a 4 y solo se vuelve positivo en el año 5; se informa también la TIR modificada.</t>
  </si>
  <si>
    <t xml:space="preserve">Análisis de sensibilidad (se modifica un supuesto por vez)</t>
  </si>
  <si>
    <t xml:space="preserve">Valores estáticos: surgen de recalcular el modelo con el supuesto indicado. Para otros escenarios, modificar la hoja Supuestos.</t>
  </si>
  <si>
    <t xml:space="preserve">Escenario</t>
  </si>
  <si>
    <t xml:space="preserve">VAN proyecto</t>
  </si>
  <si>
    <t xml:space="preserve">VAN inversionista</t>
  </si>
  <si>
    <t xml:space="preserve">TIR inversionista</t>
  </si>
  <si>
    <t xml:space="preserve">Caso base</t>
  </si>
  <si>
    <t xml:space="preserve">El utilitario reemplaza a ambos vehículos (pago y combustible del vehículo 1)</t>
  </si>
  <si>
    <t xml:space="preserve">Valor residual nulo (método contable)</t>
  </si>
  <si>
    <t xml:space="preserve">No existe</t>
  </si>
  <si>
    <t xml:space="preserve">Valor residual 25 %</t>
  </si>
  <si>
    <t xml:space="preserve">Valor residual 55 %</t>
  </si>
  <si>
    <t xml:space="preserve">Tasa de descuento real 3 %</t>
  </si>
  <si>
    <t xml:space="preserve">Tasa de descuento real 10 %</t>
  </si>
  <si>
    <t xml:space="preserve">Inflación de 10 % anual desde 2027</t>
  </si>
  <si>
    <t xml:space="preserve">Pérdida de la bonificación por mora</t>
  </si>
  <si>
    <t xml:space="preserve">Tipo de cambio 10 % mayor al comprar</t>
  </si>
  <si>
    <t xml:space="preserve">Seguro todo riesgo ($250.000 mensuales)</t>
  </si>
  <si>
    <t xml:space="preserve">Mantenimiento 50 % mayor</t>
  </si>
  <si>
    <t xml:space="preserve">Patente como camión (1,5 %)</t>
  </si>
  <si>
    <t xml:space="preserve">Valores críticos (VAN = 0)</t>
  </si>
  <si>
    <t xml:space="preserve">Valor residual mínimo para VAN del inversionista = 0 (% del precio neto)</t>
  </si>
  <si>
    <t xml:space="preserve">Pago mensual por la 4x4 que hace VAN del proyecto = 0</t>
  </si>
  <si>
    <t xml:space="preserve">Pago mensual por la 4x4 que hace VAN del inversionista = 0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</si>
</sst>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\$#,##0;&quot;($&quot;#,##0\);\-"/>
    <numFmt numFmtId="167" formatCode="0.0%;\(0.0%\);\-"/>
    <numFmt numFmtId="168" formatCode="0.000%"/>
    <numFmt numFmtId="169" formatCode="0"/>
    <numFmt numFmtId="170" formatCode="0.0000"/>
    <numFmt numFmtId="171" formatCode="0.00%"/>
    <numFmt numFmtId="172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7DD"/>
        <bgColor rgb="FFEEF3EF"/>
      </patternFill>
    </fill>
    <fill>
      <patternFill patternType="solid">
        <fgColor rgb="FFFFFF00"/>
        <bgColor rgb="FFFFFF00"/>
      </patternFill>
    </fill>
    <fill>
      <patternFill patternType="solid">
        <fgColor rgb="FFEEF3EF"/>
        <bgColor rgb="FFD9E7DD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99999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F3E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7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8671875" defaultRowHeight="14.2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6"/>
    <col collapsed="false" customWidth="true" hidden="false" outlineLevel="0" max="3" min="3" style="0" width="9"/>
    <col collapsed="false" customWidth="true" hidden="false" outlineLevel="0" max="4" min="4" style="0" width="95"/>
  </cols>
  <sheetData>
    <row r="1" customFormat="false" ht="16.15" hidden="false" customHeight="false" outlineLevel="0" collapsed="false">
      <c r="A1" s="1" t="s">
        <v>0</v>
      </c>
    </row>
    <row r="2" customFormat="false" ht="14.25" hidden="false" customHeight="false" outlineLevel="0" collapsed="false">
      <c r="A2" s="2" t="s">
        <v>1</v>
      </c>
    </row>
    <row r="4" customFormat="false" ht="14.25" hidden="false" customHeight="false" outlineLevel="0" collapsed="false">
      <c r="A4" s="3" t="s">
        <v>2</v>
      </c>
      <c r="B4" s="4"/>
      <c r="C4" s="4"/>
      <c r="D4" s="4"/>
    </row>
    <row r="5" customFormat="false" ht="14.25" hidden="false" customHeight="false" outlineLevel="0" collapsed="false">
      <c r="A5" s="5" t="s">
        <v>3</v>
      </c>
      <c r="B5" s="6" t="n">
        <v>21891</v>
      </c>
      <c r="C5" s="5" t="s">
        <v>4</v>
      </c>
      <c r="D5" s="2" t="s">
        <v>5</v>
      </c>
    </row>
    <row r="6" customFormat="false" ht="14.25" hidden="false" customHeight="false" outlineLevel="0" collapsed="false">
      <c r="A6" s="5" t="s">
        <v>6</v>
      </c>
      <c r="B6" s="6" t="n">
        <v>24190</v>
      </c>
      <c r="C6" s="5" t="s">
        <v>4</v>
      </c>
      <c r="D6" s="2" t="s">
        <v>7</v>
      </c>
    </row>
    <row r="7" customFormat="false" ht="14.25" hidden="false" customHeight="false" outlineLevel="0" collapsed="false">
      <c r="A7" s="5" t="s">
        <v>8</v>
      </c>
      <c r="B7" s="6" t="n">
        <v>1550</v>
      </c>
      <c r="C7" s="5" t="s">
        <v>9</v>
      </c>
      <c r="D7" s="2" t="s">
        <v>10</v>
      </c>
    </row>
    <row r="8" customFormat="false" ht="14.25" hidden="false" customHeight="false" outlineLevel="0" collapsed="false">
      <c r="A8" s="5" t="s">
        <v>11</v>
      </c>
      <c r="B8" s="7" t="n">
        <f aca="false">B5*B7</f>
        <v>33931050</v>
      </c>
      <c r="C8" s="5" t="s">
        <v>12</v>
      </c>
      <c r="D8" s="2" t="s">
        <v>13</v>
      </c>
    </row>
    <row r="9" customFormat="false" ht="14.25" hidden="false" customHeight="false" outlineLevel="0" collapsed="false">
      <c r="A9" s="5" t="s">
        <v>14</v>
      </c>
      <c r="B9" s="7" t="n">
        <f aca="false">B6*B7</f>
        <v>37494500</v>
      </c>
      <c r="C9" s="5" t="s">
        <v>12</v>
      </c>
      <c r="D9" s="2"/>
    </row>
    <row r="10" customFormat="false" ht="14.25" hidden="false" customHeight="false" outlineLevel="0" collapsed="false">
      <c r="A10" s="5" t="s">
        <v>15</v>
      </c>
      <c r="B10" s="7" t="n">
        <f aca="false">B9-B8</f>
        <v>3563450</v>
      </c>
      <c r="C10" s="5" t="s">
        <v>12</v>
      </c>
      <c r="D10" s="2" t="s">
        <v>16</v>
      </c>
    </row>
    <row r="11" customFormat="false" ht="14.25" hidden="false" customHeight="false" outlineLevel="0" collapsed="false">
      <c r="A11" s="5" t="s">
        <v>17</v>
      </c>
      <c r="B11" s="8" t="n">
        <v>0.06</v>
      </c>
      <c r="C11" s="5"/>
      <c r="D11" s="2" t="s">
        <v>18</v>
      </c>
    </row>
    <row r="12" customFormat="false" ht="14.25" hidden="false" customHeight="false" outlineLevel="0" collapsed="false">
      <c r="A12" s="5" t="s">
        <v>19</v>
      </c>
      <c r="B12" s="9" t="n">
        <f aca="false">(1+B11)^(1/12)-1</f>
        <v>0.00486755056534305</v>
      </c>
      <c r="C12" s="5"/>
      <c r="D12" s="2"/>
    </row>
    <row r="13" customFormat="false" ht="14.25" hidden="false" customHeight="false" outlineLevel="0" collapsed="false">
      <c r="A13" s="5" t="s">
        <v>20</v>
      </c>
      <c r="B13" s="8" t="n">
        <v>0.5</v>
      </c>
      <c r="C13" s="5"/>
      <c r="D13" s="2" t="s">
        <v>21</v>
      </c>
    </row>
    <row r="14" customFormat="false" ht="14.25" hidden="false" customHeight="false" outlineLevel="0" collapsed="false">
      <c r="A14" s="5" t="s">
        <v>22</v>
      </c>
      <c r="B14" s="10" t="n">
        <v>60</v>
      </c>
      <c r="C14" s="5"/>
      <c r="D14" s="2" t="s">
        <v>23</v>
      </c>
    </row>
    <row r="15" customFormat="false" ht="14.25" hidden="false" customHeight="false" outlineLevel="0" collapsed="false">
      <c r="A15" s="5" t="s">
        <v>24</v>
      </c>
      <c r="B15" s="8" t="n">
        <v>0.02</v>
      </c>
      <c r="C15" s="5"/>
      <c r="D15" s="2" t="s">
        <v>25</v>
      </c>
    </row>
    <row r="16" customFormat="false" ht="14.25" hidden="false" customHeight="false" outlineLevel="0" collapsed="false">
      <c r="A16" s="5" t="s">
        <v>26</v>
      </c>
      <c r="B16" s="7" t="n">
        <f aca="false">B9</f>
        <v>37494500</v>
      </c>
      <c r="C16" s="5" t="s">
        <v>12</v>
      </c>
      <c r="D16" s="2" t="s">
        <v>27</v>
      </c>
    </row>
    <row r="17" customFormat="false" ht="14.25" hidden="false" customHeight="false" outlineLevel="0" collapsed="false">
      <c r="A17" s="5" t="s">
        <v>28</v>
      </c>
      <c r="B17" s="11" t="n">
        <v>75000</v>
      </c>
      <c r="C17" s="5" t="s">
        <v>12</v>
      </c>
      <c r="D17" s="2" t="s">
        <v>29</v>
      </c>
    </row>
    <row r="18" customFormat="false" ht="14.25" hidden="false" customHeight="false" outlineLevel="0" collapsed="false">
      <c r="A18" s="5" t="s">
        <v>30</v>
      </c>
      <c r="B18" s="8" t="n">
        <v>0.017</v>
      </c>
      <c r="C18" s="5"/>
      <c r="D18" s="2" t="s">
        <v>31</v>
      </c>
    </row>
    <row r="19" customFormat="false" ht="14.25" hidden="false" customHeight="false" outlineLevel="0" collapsed="false">
      <c r="A19" s="5" t="s">
        <v>32</v>
      </c>
      <c r="B19" s="8" t="n">
        <v>0.016</v>
      </c>
      <c r="C19" s="5"/>
      <c r="D19" s="2" t="s">
        <v>31</v>
      </c>
    </row>
    <row r="20" customFormat="false" ht="14.25" hidden="false" customHeight="false" outlineLevel="0" collapsed="false">
      <c r="A20" s="5" t="s">
        <v>33</v>
      </c>
      <c r="B20" s="8" t="n">
        <v>0.018</v>
      </c>
      <c r="C20" s="5"/>
      <c r="D20" s="2" t="s">
        <v>31</v>
      </c>
    </row>
    <row r="21" customFormat="false" ht="14.25" hidden="false" customHeight="false" outlineLevel="0" collapsed="false">
      <c r="A21" s="5" t="s">
        <v>34</v>
      </c>
      <c r="B21" s="8" t="n">
        <v>0.205</v>
      </c>
      <c r="C21" s="5"/>
      <c r="D21" s="2" t="s">
        <v>31</v>
      </c>
    </row>
    <row r="22" customFormat="false" ht="14.25" hidden="false" customHeight="false" outlineLevel="0" collapsed="false">
      <c r="A22" s="5" t="s">
        <v>35</v>
      </c>
      <c r="B22" s="8" t="n">
        <v>0.141</v>
      </c>
      <c r="C22" s="5"/>
      <c r="D22" s="2" t="s">
        <v>31</v>
      </c>
    </row>
    <row r="23" customFormat="false" ht="14.25" hidden="false" customHeight="false" outlineLevel="0" collapsed="false">
      <c r="A23" s="5" t="s">
        <v>36</v>
      </c>
      <c r="B23" s="8" t="n">
        <v>0.141</v>
      </c>
      <c r="C23" s="5"/>
      <c r="D23" s="2" t="s">
        <v>37</v>
      </c>
    </row>
    <row r="24" customFormat="false" ht="14.25" hidden="false" customHeight="false" outlineLevel="0" collapsed="false">
      <c r="A24" s="5" t="s">
        <v>38</v>
      </c>
      <c r="B24" s="8" t="n">
        <v>0.2411</v>
      </c>
      <c r="C24" s="5"/>
      <c r="D24" s="2" t="s">
        <v>39</v>
      </c>
    </row>
    <row r="25" customFormat="false" ht="14.25" hidden="false" customHeight="false" outlineLevel="0" collapsed="false">
      <c r="A25" s="5" t="s">
        <v>40</v>
      </c>
      <c r="B25" s="8" t="n">
        <v>0.21</v>
      </c>
      <c r="C25" s="5"/>
      <c r="D25" s="2" t="s">
        <v>39</v>
      </c>
    </row>
    <row r="26" customFormat="false" ht="14.25" hidden="false" customHeight="false" outlineLevel="0" collapsed="false">
      <c r="A26" s="5" t="s">
        <v>41</v>
      </c>
      <c r="B26" s="12" t="n">
        <f aca="false">(1+B24/12)^12/(1+B25)-1</f>
        <v>0.0492646136680366</v>
      </c>
      <c r="C26" s="5"/>
      <c r="D26" s="2" t="s">
        <v>42</v>
      </c>
    </row>
    <row r="27" customFormat="false" ht="14.25" hidden="false" customHeight="false" outlineLevel="0" collapsed="false">
      <c r="A27" s="5" t="s">
        <v>43</v>
      </c>
      <c r="B27" s="8" t="n">
        <v>0.05</v>
      </c>
      <c r="C27" s="5"/>
      <c r="D27" s="2" t="s">
        <v>44</v>
      </c>
    </row>
    <row r="28" customFormat="false" ht="14.25" hidden="false" customHeight="false" outlineLevel="0" collapsed="false">
      <c r="A28" s="5" t="s">
        <v>45</v>
      </c>
      <c r="B28" s="11" t="n">
        <v>150000</v>
      </c>
      <c r="C28" s="5" t="s">
        <v>12</v>
      </c>
      <c r="D28" s="2" t="s">
        <v>46</v>
      </c>
    </row>
    <row r="30" customFormat="false" ht="14.25" hidden="false" customHeight="false" outlineLevel="0" collapsed="false">
      <c r="A30" s="3" t="s">
        <v>47</v>
      </c>
      <c r="B30" s="4"/>
      <c r="C30" s="4"/>
      <c r="D30" s="4"/>
    </row>
    <row r="31" customFormat="false" ht="14.25" hidden="false" customHeight="false" outlineLevel="0" collapsed="false">
      <c r="A31" s="5" t="s">
        <v>48</v>
      </c>
      <c r="B31" s="11" t="n">
        <v>250000</v>
      </c>
      <c r="C31" s="5" t="s">
        <v>12</v>
      </c>
      <c r="D31" s="2" t="s">
        <v>49</v>
      </c>
    </row>
    <row r="32" customFormat="false" ht="14.25" hidden="false" customHeight="false" outlineLevel="0" collapsed="false">
      <c r="A32" s="5" t="s">
        <v>50</v>
      </c>
      <c r="B32" s="11" t="n">
        <v>450000</v>
      </c>
      <c r="C32" s="5" t="s">
        <v>12</v>
      </c>
      <c r="D32" s="2" t="s">
        <v>49</v>
      </c>
    </row>
    <row r="33" customFormat="false" ht="14.25" hidden="false" customHeight="false" outlineLevel="0" collapsed="false">
      <c r="A33" s="5" t="s">
        <v>51</v>
      </c>
      <c r="B33" s="13" t="n">
        <v>300000</v>
      </c>
      <c r="C33" s="5" t="s">
        <v>12</v>
      </c>
      <c r="D33" s="2" t="s">
        <v>52</v>
      </c>
    </row>
    <row r="34" customFormat="false" ht="14.25" hidden="false" customHeight="false" outlineLevel="0" collapsed="false">
      <c r="A34" s="5" t="s">
        <v>53</v>
      </c>
      <c r="B34" s="13" t="n">
        <v>520000</v>
      </c>
      <c r="C34" s="5" t="s">
        <v>12</v>
      </c>
      <c r="D34" s="2" t="s">
        <v>52</v>
      </c>
    </row>
    <row r="35" customFormat="false" ht="14.25" hidden="false" customHeight="false" outlineLevel="0" collapsed="false">
      <c r="A35" s="5" t="s">
        <v>54</v>
      </c>
      <c r="B35" s="14" t="n">
        <v>1</v>
      </c>
      <c r="C35" s="5"/>
      <c r="D35" s="2" t="s">
        <v>55</v>
      </c>
    </row>
    <row r="36" customFormat="false" ht="14.25" hidden="false" customHeight="false" outlineLevel="0" collapsed="false">
      <c r="A36" s="5" t="s">
        <v>56</v>
      </c>
      <c r="B36" s="7" t="n">
        <f aca="false">B34</f>
        <v>520000</v>
      </c>
      <c r="C36" s="5" t="s">
        <v>12</v>
      </c>
      <c r="D36" s="2" t="s">
        <v>57</v>
      </c>
    </row>
    <row r="37" customFormat="false" ht="14.25" hidden="false" customHeight="false" outlineLevel="0" collapsed="false">
      <c r="A37" s="5" t="s">
        <v>58</v>
      </c>
      <c r="B37" s="13" t="n">
        <v>600000</v>
      </c>
      <c r="C37" s="5" t="s">
        <v>12</v>
      </c>
      <c r="D37" s="2" t="s">
        <v>59</v>
      </c>
    </row>
    <row r="38" customFormat="false" ht="14.25" hidden="false" customHeight="false" outlineLevel="0" collapsed="false">
      <c r="A38" s="5" t="s">
        <v>60</v>
      </c>
      <c r="B38" s="13" t="n">
        <v>1200000</v>
      </c>
      <c r="C38" s="5" t="s">
        <v>12</v>
      </c>
      <c r="D38" s="2" t="s">
        <v>61</v>
      </c>
    </row>
    <row r="39" customFormat="false" ht="14.25" hidden="false" customHeight="false" outlineLevel="0" collapsed="false">
      <c r="A39" s="5" t="s">
        <v>62</v>
      </c>
      <c r="B39" s="13" t="n">
        <v>1500000</v>
      </c>
      <c r="C39" s="5" t="s">
        <v>12</v>
      </c>
      <c r="D39" s="2" t="s">
        <v>63</v>
      </c>
    </row>
    <row r="40" customFormat="false" ht="14.25" hidden="false" customHeight="false" outlineLevel="0" collapsed="false">
      <c r="A40" s="5" t="s">
        <v>64</v>
      </c>
      <c r="B40" s="14" t="n">
        <v>0.4</v>
      </c>
      <c r="C40" s="5"/>
      <c r="D40" s="2" t="s">
        <v>65</v>
      </c>
    </row>
    <row r="41" customFormat="false" ht="14.25" hidden="false" customHeight="false" outlineLevel="0" collapsed="false">
      <c r="A41" s="5" t="s">
        <v>66</v>
      </c>
      <c r="B41" s="14" t="n">
        <v>1</v>
      </c>
      <c r="C41" s="5"/>
      <c r="D41" s="2" t="s">
        <v>67</v>
      </c>
    </row>
    <row r="42" customFormat="false" ht="14.25" hidden="false" customHeight="false" outlineLevel="0" collapsed="false">
      <c r="A42" s="5" t="s">
        <v>68</v>
      </c>
      <c r="B42" s="15" t="n">
        <v>5</v>
      </c>
      <c r="C42" s="5" t="s">
        <v>69</v>
      </c>
      <c r="D42" s="2" t="s">
        <v>70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88671875" defaultRowHeight="14.25" zeroHeight="false" outlineLevelRow="0" outlineLevelCol="0"/>
  <cols>
    <col collapsed="false" customWidth="true" hidden="false" outlineLevel="0" max="2" min="1" style="0" width="7"/>
    <col collapsed="false" customWidth="true" hidden="false" outlineLevel="0" max="4" min="3" style="0" width="11"/>
    <col collapsed="false" customWidth="true" hidden="false" outlineLevel="0" max="5" min="5" style="0" width="15"/>
    <col collapsed="false" customWidth="true" hidden="false" outlineLevel="0" max="10" min="6" style="0" width="13"/>
    <col collapsed="false" customWidth="true" hidden="false" outlineLevel="0" max="11" min="11" style="0" width="15"/>
    <col collapsed="false" customWidth="true" hidden="false" outlineLevel="0" max="14" min="12" style="0" width="14"/>
    <col collapsed="false" customWidth="true" hidden="false" outlineLevel="0" max="16" min="15" style="0" width="13"/>
  </cols>
  <sheetData>
    <row r="1" customFormat="false" ht="16.15" hidden="false" customHeight="false" outlineLevel="0" collapsed="false">
      <c r="A1" s="1" t="s">
        <v>71</v>
      </c>
    </row>
    <row r="3" customFormat="false" ht="14.25" hidden="false" customHeight="false" outlineLevel="0" collapsed="false">
      <c r="A3" s="5" t="s">
        <v>72</v>
      </c>
      <c r="E3" s="16" t="n">
        <f aca="false">Supuestos!B8*Supuestos!B41</f>
        <v>33931050</v>
      </c>
    </row>
    <row r="4" customFormat="false" ht="14.25" hidden="false" customHeight="false" outlineLevel="0" collapsed="false">
      <c r="A4" s="5" t="s">
        <v>73</v>
      </c>
      <c r="E4" s="17" t="n">
        <f aca="false">Supuestos!B12</f>
        <v>0.00486755056534305</v>
      </c>
    </row>
    <row r="5" customFormat="false" ht="14.25" hidden="false" customHeight="false" outlineLevel="0" collapsed="false">
      <c r="A5" s="5" t="s">
        <v>74</v>
      </c>
      <c r="E5" s="7" t="n">
        <f aca="false">PMT(E4,Supuestos!B14,-E3)</f>
        <v>653477.51689179</v>
      </c>
    </row>
    <row r="6" customFormat="false" ht="14.25" hidden="false" customHeight="false" outlineLevel="0" collapsed="false">
      <c r="A6" s="5" t="s">
        <v>75</v>
      </c>
      <c r="E6" s="7" t="n">
        <f aca="false">SUM(F11:F70)</f>
        <v>5277601.01350738</v>
      </c>
    </row>
    <row r="7" customFormat="false" ht="14.25" hidden="false" customHeight="false" outlineLevel="0" collapsed="false">
      <c r="A7" s="5" t="s">
        <v>76</v>
      </c>
      <c r="E7" s="7" t="n">
        <f aca="false">Supuestos!B13*E6</f>
        <v>2638800.50675369</v>
      </c>
    </row>
    <row r="9" customFormat="false" ht="42" hidden="false" customHeight="true" outlineLevel="0" collapsed="false">
      <c r="A9" s="18" t="s">
        <v>77</v>
      </c>
      <c r="B9" s="18" t="s">
        <v>78</v>
      </c>
      <c r="C9" s="18" t="s">
        <v>79</v>
      </c>
      <c r="D9" s="18" t="s">
        <v>80</v>
      </c>
      <c r="E9" s="18" t="s">
        <v>81</v>
      </c>
      <c r="F9" s="18" t="s">
        <v>82</v>
      </c>
      <c r="G9" s="18" t="s">
        <v>83</v>
      </c>
      <c r="H9" s="18" t="s">
        <v>84</v>
      </c>
      <c r="I9" s="18" t="s">
        <v>85</v>
      </c>
      <c r="J9" s="18" t="s">
        <v>86</v>
      </c>
      <c r="K9" s="18" t="s">
        <v>87</v>
      </c>
      <c r="L9" s="18" t="s">
        <v>88</v>
      </c>
      <c r="M9" s="18" t="s">
        <v>89</v>
      </c>
      <c r="N9" s="18" t="s">
        <v>90</v>
      </c>
      <c r="O9" s="18" t="s">
        <v>91</v>
      </c>
      <c r="P9" s="18" t="s">
        <v>92</v>
      </c>
    </row>
    <row r="10" customFormat="false" ht="14.25" hidden="false" customHeight="false" outlineLevel="0" collapsed="false">
      <c r="A10" s="5" t="n">
        <v>0</v>
      </c>
      <c r="B10" s="5" t="n">
        <v>0</v>
      </c>
      <c r="D10" s="19" t="n">
        <v>1</v>
      </c>
      <c r="K10" s="7" t="n">
        <f aca="false">E3</f>
        <v>33931050</v>
      </c>
    </row>
    <row r="11" customFormat="false" ht="14.25" hidden="false" customHeight="false" outlineLevel="0" collapsed="false">
      <c r="A11" s="5" t="n">
        <v>1</v>
      </c>
      <c r="B11" s="5" t="n">
        <f aca="false">ROUNDUP(A11/12,0)</f>
        <v>1</v>
      </c>
      <c r="C11" s="20" t="n">
        <f aca="false">IF(A11=1,Supuestos!$B$18,IF(A11=2,Supuestos!$B$19,IF(A11=3,Supuestos!$B$20,IF(A11&lt;=15,(1+Supuestos!$B$21)^(1/12)-1,IF(A11&lt;=27,(1+Supuestos!$B$22)^(1/12)-1,(1+Supuestos!$B$23)^(1/12)-1)))))</f>
        <v>0.017</v>
      </c>
      <c r="D11" s="19" t="n">
        <f aca="false">D10*(1+C11)</f>
        <v>1.017</v>
      </c>
      <c r="E11" s="7" t="n">
        <f aca="false">K10</f>
        <v>33931050</v>
      </c>
      <c r="F11" s="7" t="n">
        <f aca="false">E11*$E$4</f>
        <v>165161.101610183</v>
      </c>
      <c r="G11" s="7" t="n">
        <f aca="false">H11-F11</f>
        <v>488316.415281606</v>
      </c>
      <c r="H11" s="7" t="n">
        <f aca="false">$E$5</f>
        <v>653477.51689179</v>
      </c>
      <c r="I11" s="7" t="n">
        <f aca="false">MAX(0,MIN(H11,$E$7-H11*(Supuestos!$B$14-A11)))</f>
        <v>0</v>
      </c>
      <c r="J11" s="7" t="n">
        <f aca="false">H11-I11</f>
        <v>653477.51689179</v>
      </c>
      <c r="K11" s="7" t="n">
        <f aca="false">E11-G11</f>
        <v>33442733.5847184</v>
      </c>
      <c r="L11" s="7" t="n">
        <f aca="false">J11/D11</f>
        <v>642554.097238731</v>
      </c>
      <c r="M11" s="7" t="n">
        <f aca="false">F11/D11</f>
        <v>162400.296568518</v>
      </c>
      <c r="N11" s="7" t="n">
        <f aca="false">G11/D11</f>
        <v>480153.800670213</v>
      </c>
      <c r="O11" s="7" t="n">
        <f aca="false">I11/D11</f>
        <v>0</v>
      </c>
      <c r="P11" s="7" t="n">
        <f aca="false">E11*(1/D10-1/D11)</f>
        <v>567185.693215337</v>
      </c>
    </row>
    <row r="12" customFormat="false" ht="14.25" hidden="false" customHeight="false" outlineLevel="0" collapsed="false">
      <c r="A12" s="5" t="n">
        <v>2</v>
      </c>
      <c r="B12" s="5" t="n">
        <f aca="false">ROUNDUP(A12/12,0)</f>
        <v>1</v>
      </c>
      <c r="C12" s="20" t="n">
        <f aca="false">IF(A12=1,Supuestos!$B$18,IF(A12=2,Supuestos!$B$19,IF(A12=3,Supuestos!$B$20,IF(A12&lt;=15,(1+Supuestos!$B$21)^(1/12)-1,IF(A12&lt;=27,(1+Supuestos!$B$22)^(1/12)-1,(1+Supuestos!$B$23)^(1/12)-1)))))</f>
        <v>0.016</v>
      </c>
      <c r="D12" s="19" t="n">
        <f aca="false">D11*(1+C12)</f>
        <v>1.033272</v>
      </c>
      <c r="E12" s="7" t="n">
        <f aca="false">K11</f>
        <v>33442733.5847184</v>
      </c>
      <c r="F12" s="7" t="n">
        <f aca="false">E12*$E$4</f>
        <v>162784.196766913</v>
      </c>
      <c r="G12" s="7" t="n">
        <f aca="false">H12-F12</f>
        <v>490693.320124877</v>
      </c>
      <c r="H12" s="7" t="n">
        <f aca="false">$E$5</f>
        <v>653477.51689179</v>
      </c>
      <c r="I12" s="7" t="n">
        <f aca="false">MAX(0,MIN(H12,$E$7-H12*(Supuestos!$B$14-A12)))</f>
        <v>0</v>
      </c>
      <c r="J12" s="7" t="n">
        <f aca="false">H12-I12</f>
        <v>653477.51689179</v>
      </c>
      <c r="K12" s="7" t="n">
        <f aca="false">E12-G12</f>
        <v>32952040.2645935</v>
      </c>
      <c r="L12" s="7" t="n">
        <f aca="false">J12/D12</f>
        <v>632435.135077491</v>
      </c>
      <c r="M12" s="7" t="n">
        <f aca="false">F12/D12</f>
        <v>157542.444551786</v>
      </c>
      <c r="N12" s="7" t="n">
        <f aca="false">G12/D12</f>
        <v>474892.690525705</v>
      </c>
      <c r="O12" s="7" t="n">
        <f aca="false">I12/D12</f>
        <v>0</v>
      </c>
      <c r="P12" s="7" t="n">
        <f aca="false">E12*(1/D11-1/D12)</f>
        <v>517853.708757709</v>
      </c>
    </row>
    <row r="13" customFormat="false" ht="14.25" hidden="false" customHeight="false" outlineLevel="0" collapsed="false">
      <c r="A13" s="5" t="n">
        <v>3</v>
      </c>
      <c r="B13" s="5" t="n">
        <f aca="false">ROUNDUP(A13/12,0)</f>
        <v>1</v>
      </c>
      <c r="C13" s="20" t="n">
        <f aca="false">IF(A13=1,Supuestos!$B$18,IF(A13=2,Supuestos!$B$19,IF(A13=3,Supuestos!$B$20,IF(A13&lt;=15,(1+Supuestos!$B$21)^(1/12)-1,IF(A13&lt;=27,(1+Supuestos!$B$22)^(1/12)-1,(1+Supuestos!$B$23)^(1/12)-1)))))</f>
        <v>0.018</v>
      </c>
      <c r="D13" s="19" t="n">
        <f aca="false">D12*(1+C13)</f>
        <v>1.051870896</v>
      </c>
      <c r="E13" s="7" t="n">
        <f aca="false">K12</f>
        <v>32952040.2645935</v>
      </c>
      <c r="F13" s="7" t="n">
        <f aca="false">E13*$E$4</f>
        <v>160395.722219129</v>
      </c>
      <c r="G13" s="7" t="n">
        <f aca="false">H13-F13</f>
        <v>493081.794672661</v>
      </c>
      <c r="H13" s="7" t="n">
        <f aca="false">$E$5</f>
        <v>653477.51689179</v>
      </c>
      <c r="I13" s="7" t="n">
        <f aca="false">MAX(0,MIN(H13,$E$7-H13*(Supuestos!$B$14-A13)))</f>
        <v>0</v>
      </c>
      <c r="J13" s="7" t="n">
        <f aca="false">H13-I13</f>
        <v>653477.51689179</v>
      </c>
      <c r="K13" s="7" t="n">
        <f aca="false">E13-G13</f>
        <v>32458958.4699209</v>
      </c>
      <c r="L13" s="7" t="n">
        <f aca="false">J13/D13</f>
        <v>621252.588484766</v>
      </c>
      <c r="M13" s="7" t="n">
        <f aca="false">F13/D13</f>
        <v>152486.130027053</v>
      </c>
      <c r="N13" s="7" t="n">
        <f aca="false">G13/D13</f>
        <v>468766.458457712</v>
      </c>
      <c r="O13" s="7" t="n">
        <f aca="false">I13/D13</f>
        <v>0</v>
      </c>
      <c r="P13" s="7" t="n">
        <f aca="false">E13*(1/D12-1/D13)</f>
        <v>563887.381063814</v>
      </c>
    </row>
    <row r="14" customFormat="false" ht="14.25" hidden="false" customHeight="false" outlineLevel="0" collapsed="false">
      <c r="A14" s="5" t="n">
        <v>4</v>
      </c>
      <c r="B14" s="5" t="n">
        <f aca="false">ROUNDUP(A14/12,0)</f>
        <v>1</v>
      </c>
      <c r="C14" s="20" t="n">
        <f aca="false">IF(A14=1,Supuestos!$B$18,IF(A14=2,Supuestos!$B$19,IF(A14=3,Supuestos!$B$20,IF(A14&lt;=15,(1+Supuestos!$B$21)^(1/12)-1,IF(A14&lt;=27,(1+Supuestos!$B$22)^(1/12)-1,(1+Supuestos!$B$23)^(1/12)-1)))))</f>
        <v>0.0156613370474366</v>
      </c>
      <c r="D14" s="19" t="n">
        <f aca="false">D13*(1+C14)</f>
        <v>1.06834460063265</v>
      </c>
      <c r="E14" s="7" t="n">
        <f aca="false">K13</f>
        <v>32458958.4699209</v>
      </c>
      <c r="F14" s="7" t="n">
        <f aca="false">E14*$E$4</f>
        <v>157995.62165071</v>
      </c>
      <c r="G14" s="7" t="n">
        <f aca="false">H14-F14</f>
        <v>495481.89524108</v>
      </c>
      <c r="H14" s="7" t="n">
        <f aca="false">$E$5</f>
        <v>653477.51689179</v>
      </c>
      <c r="I14" s="7" t="n">
        <f aca="false">MAX(0,MIN(H14,$E$7-H14*(Supuestos!$B$14-A14)))</f>
        <v>0</v>
      </c>
      <c r="J14" s="7" t="n">
        <f aca="false">H14-I14</f>
        <v>653477.51689179</v>
      </c>
      <c r="K14" s="7" t="n">
        <f aca="false">E14-G14</f>
        <v>31963476.5746798</v>
      </c>
      <c r="L14" s="7" t="n">
        <f aca="false">J14/D14</f>
        <v>611672.971908893</v>
      </c>
      <c r="M14" s="7" t="n">
        <f aca="false">F14/D14</f>
        <v>147888.25773739</v>
      </c>
      <c r="N14" s="7" t="n">
        <f aca="false">G14/D14</f>
        <v>463784.714171503</v>
      </c>
      <c r="O14" s="7" t="n">
        <f aca="false">I14/D14</f>
        <v>0</v>
      </c>
      <c r="P14" s="7" t="n">
        <f aca="false">E14*(1/D13-1/D14)</f>
        <v>475830.259735615</v>
      </c>
    </row>
    <row r="15" customFormat="false" ht="14.25" hidden="false" customHeight="false" outlineLevel="0" collapsed="false">
      <c r="A15" s="5" t="n">
        <v>5</v>
      </c>
      <c r="B15" s="5" t="n">
        <f aca="false">ROUNDUP(A15/12,0)</f>
        <v>1</v>
      </c>
      <c r="C15" s="20" t="n">
        <f aca="false">IF(A15=1,Supuestos!$B$18,IF(A15=2,Supuestos!$B$19,IF(A15=3,Supuestos!$B$20,IF(A15&lt;=15,(1+Supuestos!$B$21)^(1/12)-1,IF(A15&lt;=27,(1+Supuestos!$B$22)^(1/12)-1,(1+Supuestos!$B$23)^(1/12)-1)))))</f>
        <v>0.0156613370474366</v>
      </c>
      <c r="D15" s="19" t="n">
        <f aca="false">D14*(1+C15)</f>
        <v>1.08507630550596</v>
      </c>
      <c r="E15" s="7" t="n">
        <f aca="false">K14</f>
        <v>31963476.5746798</v>
      </c>
      <c r="F15" s="7" t="n">
        <f aca="false">E15*$E$4</f>
        <v>155583.838471412</v>
      </c>
      <c r="G15" s="7" t="n">
        <f aca="false">H15-F15</f>
        <v>497893.678420378</v>
      </c>
      <c r="H15" s="7" t="n">
        <f aca="false">$E$5</f>
        <v>653477.51689179</v>
      </c>
      <c r="I15" s="7" t="n">
        <f aca="false">MAX(0,MIN(H15,$E$7-H15*(Supuestos!$B$14-A15)))</f>
        <v>0</v>
      </c>
      <c r="J15" s="7" t="n">
        <f aca="false">H15-I15</f>
        <v>653477.51689179</v>
      </c>
      <c r="K15" s="7" t="n">
        <f aca="false">E15-G15</f>
        <v>31465582.8962594</v>
      </c>
      <c r="L15" s="7" t="n">
        <f aca="false">J15/D15</f>
        <v>602241.071504256</v>
      </c>
      <c r="M15" s="7" t="n">
        <f aca="false">F15/D15</f>
        <v>143385.15888877</v>
      </c>
      <c r="N15" s="7" t="n">
        <f aca="false">G15/D15</f>
        <v>458855.912615486</v>
      </c>
      <c r="O15" s="7" t="n">
        <f aca="false">I15/D15</f>
        <v>0</v>
      </c>
      <c r="P15" s="7" t="n">
        <f aca="false">E15*(1/D14-1/D15)</f>
        <v>461341.545570366</v>
      </c>
    </row>
    <row r="16" customFormat="false" ht="14.25" hidden="false" customHeight="false" outlineLevel="0" collapsed="false">
      <c r="A16" s="5" t="n">
        <v>6</v>
      </c>
      <c r="B16" s="5" t="n">
        <f aca="false">ROUNDUP(A16/12,0)</f>
        <v>1</v>
      </c>
      <c r="C16" s="20" t="n">
        <f aca="false">IF(A16=1,Supuestos!$B$18,IF(A16=2,Supuestos!$B$19,IF(A16=3,Supuestos!$B$20,IF(A16&lt;=15,(1+Supuestos!$B$21)^(1/12)-1,IF(A16&lt;=27,(1+Supuestos!$B$22)^(1/12)-1,(1+Supuestos!$B$23)^(1/12)-1)))))</f>
        <v>0.0156613370474366</v>
      </c>
      <c r="D16" s="19" t="n">
        <f aca="false">D15*(1+C16)</f>
        <v>1.10207005124868</v>
      </c>
      <c r="E16" s="7" t="n">
        <f aca="false">K15</f>
        <v>31465582.8962594</v>
      </c>
      <c r="F16" s="7" t="n">
        <f aca="false">E16*$E$4</f>
        <v>153160.315815536</v>
      </c>
      <c r="G16" s="7" t="n">
        <f aca="false">H16-F16</f>
        <v>500317.201076254</v>
      </c>
      <c r="H16" s="7" t="n">
        <f aca="false">$E$5</f>
        <v>653477.51689179</v>
      </c>
      <c r="I16" s="7" t="n">
        <f aca="false">MAX(0,MIN(H16,$E$7-H16*(Supuestos!$B$14-A16)))</f>
        <v>0</v>
      </c>
      <c r="J16" s="7" t="n">
        <f aca="false">H16-I16</f>
        <v>653477.51689179</v>
      </c>
      <c r="K16" s="7" t="n">
        <f aca="false">E16-G16</f>
        <v>30965265.6951831</v>
      </c>
      <c r="L16" s="7" t="n">
        <f aca="false">J16/D16</f>
        <v>592954.609510875</v>
      </c>
      <c r="M16" s="7" t="n">
        <f aca="false">F16/D16</f>
        <v>138975.118362032</v>
      </c>
      <c r="N16" s="7" t="n">
        <f aca="false">G16/D16</f>
        <v>453979.491148842</v>
      </c>
      <c r="O16" s="7" t="n">
        <f aca="false">I16/D16</f>
        <v>0</v>
      </c>
      <c r="P16" s="7" t="n">
        <f aca="false">E16*(1/D15-1/D16)</f>
        <v>447152.246423921</v>
      </c>
    </row>
    <row r="17" customFormat="false" ht="14.25" hidden="false" customHeight="false" outlineLevel="0" collapsed="false">
      <c r="A17" s="5" t="n">
        <v>7</v>
      </c>
      <c r="B17" s="5" t="n">
        <f aca="false">ROUNDUP(A17/12,0)</f>
        <v>1</v>
      </c>
      <c r="C17" s="20" t="n">
        <f aca="false">IF(A17=1,Supuestos!$B$18,IF(A17=2,Supuestos!$B$19,IF(A17=3,Supuestos!$B$20,IF(A17&lt;=15,(1+Supuestos!$B$21)^(1/12)-1,IF(A17&lt;=27,(1+Supuestos!$B$22)^(1/12)-1,(1+Supuestos!$B$23)^(1/12)-1)))))</f>
        <v>0.0156613370474366</v>
      </c>
      <c r="D17" s="19" t="n">
        <f aca="false">D16*(1+C17)</f>
        <v>1.11932994177117</v>
      </c>
      <c r="E17" s="7" t="n">
        <f aca="false">K16</f>
        <v>30965265.6951831</v>
      </c>
      <c r="F17" s="7" t="n">
        <f aca="false">E17*$E$4</f>
        <v>150724.996540586</v>
      </c>
      <c r="G17" s="7" t="n">
        <f aca="false">H17-F17</f>
        <v>502752.520351203</v>
      </c>
      <c r="H17" s="7" t="n">
        <f aca="false">$E$5</f>
        <v>653477.51689179</v>
      </c>
      <c r="I17" s="7" t="n">
        <f aca="false">MAX(0,MIN(H17,$E$7-H17*(Supuestos!$B$14-A17)))</f>
        <v>0</v>
      </c>
      <c r="J17" s="7" t="n">
        <f aca="false">H17-I17</f>
        <v>653477.51689179</v>
      </c>
      <c r="K17" s="7" t="n">
        <f aca="false">E17-G17</f>
        <v>30462513.1748319</v>
      </c>
      <c r="L17" s="7" t="n">
        <f aca="false">J17/D17</f>
        <v>583811.34329147</v>
      </c>
      <c r="M17" s="7" t="n">
        <f aca="false">F17/D17</f>
        <v>134656.450181335</v>
      </c>
      <c r="N17" s="7" t="n">
        <f aca="false">G17/D17</f>
        <v>449154.893110135</v>
      </c>
      <c r="O17" s="7" t="n">
        <f aca="false">I17/D17</f>
        <v>0</v>
      </c>
      <c r="P17" s="7" t="n">
        <f aca="false">E17*(1/D16-1/D17)</f>
        <v>433256.937671407</v>
      </c>
    </row>
    <row r="18" customFormat="false" ht="14.25" hidden="false" customHeight="false" outlineLevel="0" collapsed="false">
      <c r="A18" s="5" t="n">
        <v>8</v>
      </c>
      <c r="B18" s="5" t="n">
        <f aca="false">ROUNDUP(A18/12,0)</f>
        <v>1</v>
      </c>
      <c r="C18" s="20" t="n">
        <f aca="false">IF(A18=1,Supuestos!$B$18,IF(A18=2,Supuestos!$B$19,IF(A18=3,Supuestos!$B$20,IF(A18&lt;=15,(1+Supuestos!$B$21)^(1/12)-1,IF(A18&lt;=27,(1+Supuestos!$B$22)^(1/12)-1,(1+Supuestos!$B$23)^(1/12)-1)))))</f>
        <v>0.0156613370474366</v>
      </c>
      <c r="D18" s="19" t="n">
        <f aca="false">D17*(1+C18)</f>
        <v>1.13686014525654</v>
      </c>
      <c r="E18" s="7" t="n">
        <f aca="false">K17</f>
        <v>30462513.1748319</v>
      </c>
      <c r="F18" s="7" t="n">
        <f aca="false">E18*$E$4</f>
        <v>148277.823225923</v>
      </c>
      <c r="G18" s="7" t="n">
        <f aca="false">H18-F18</f>
        <v>505199.693665866</v>
      </c>
      <c r="H18" s="7" t="n">
        <f aca="false">$E$5</f>
        <v>653477.51689179</v>
      </c>
      <c r="I18" s="7" t="n">
        <f aca="false">MAX(0,MIN(H18,$E$7-H18*(Supuestos!$B$14-A18)))</f>
        <v>0</v>
      </c>
      <c r="J18" s="7" t="n">
        <f aca="false">H18-I18</f>
        <v>653477.51689179</v>
      </c>
      <c r="K18" s="7" t="n">
        <f aca="false">E18-G18</f>
        <v>29957313.4811661</v>
      </c>
      <c r="L18" s="7" t="n">
        <f aca="false">J18/D18</f>
        <v>574809.064789874</v>
      </c>
      <c r="M18" s="7" t="n">
        <f aca="false">F18/D18</f>
        <v>130427.497036114</v>
      </c>
      <c r="N18" s="7" t="n">
        <f aca="false">G18/D18</f>
        <v>444381.56775376</v>
      </c>
      <c r="O18" s="7" t="n">
        <f aca="false">I18/D18</f>
        <v>0</v>
      </c>
      <c r="P18" s="7" t="n">
        <f aca="false">E18*(1/D17-1/D18)</f>
        <v>419650.286918413</v>
      </c>
    </row>
    <row r="19" customFormat="false" ht="14.25" hidden="false" customHeight="false" outlineLevel="0" collapsed="false">
      <c r="A19" s="5" t="n">
        <v>9</v>
      </c>
      <c r="B19" s="5" t="n">
        <f aca="false">ROUNDUP(A19/12,0)</f>
        <v>1</v>
      </c>
      <c r="C19" s="20" t="n">
        <f aca="false">IF(A19=1,Supuestos!$B$18,IF(A19=2,Supuestos!$B$19,IF(A19=3,Supuestos!$B$20,IF(A19&lt;=15,(1+Supuestos!$B$21)^(1/12)-1,IF(A19&lt;=27,(1+Supuestos!$B$22)^(1/12)-1,(1+Supuestos!$B$23)^(1/12)-1)))))</f>
        <v>0.0156613370474366</v>
      </c>
      <c r="D19" s="19" t="n">
        <f aca="false">D18*(1+C19)</f>
        <v>1.1546648951672</v>
      </c>
      <c r="E19" s="7" t="n">
        <f aca="false">K18</f>
        <v>29957313.4811661</v>
      </c>
      <c r="F19" s="7" t="n">
        <f aca="false">E19*$E$4</f>
        <v>145818.738171409</v>
      </c>
      <c r="G19" s="7" t="n">
        <f aca="false">H19-F19</f>
        <v>507658.778720381</v>
      </c>
      <c r="H19" s="7" t="n">
        <f aca="false">$E$5</f>
        <v>653477.51689179</v>
      </c>
      <c r="I19" s="7" t="n">
        <f aca="false">MAX(0,MIN(H19,$E$7-H19*(Supuestos!$B$14-A19)))</f>
        <v>0</v>
      </c>
      <c r="J19" s="7" t="n">
        <f aca="false">H19-I19</f>
        <v>653477.51689179</v>
      </c>
      <c r="K19" s="7" t="n">
        <f aca="false">E19-G19</f>
        <v>29449654.7024457</v>
      </c>
      <c r="L19" s="7" t="n">
        <f aca="false">J19/D19</f>
        <v>565945.599997795</v>
      </c>
      <c r="M19" s="7" t="n">
        <f aca="false">F19/D19</f>
        <v>126286.629810716</v>
      </c>
      <c r="N19" s="7" t="n">
        <f aca="false">G19/D19</f>
        <v>439658.970187079</v>
      </c>
      <c r="O19" s="7" t="n">
        <f aca="false">I19/D19</f>
        <v>0</v>
      </c>
      <c r="P19" s="7" t="n">
        <f aca="false">E19*(1/D18-1/D19)</f>
        <v>406327.052487657</v>
      </c>
    </row>
    <row r="20" customFormat="false" ht="14.25" hidden="false" customHeight="false" outlineLevel="0" collapsed="false">
      <c r="A20" s="5" t="n">
        <v>10</v>
      </c>
      <c r="B20" s="5" t="n">
        <f aca="false">ROUNDUP(A20/12,0)</f>
        <v>1</v>
      </c>
      <c r="C20" s="20" t="n">
        <f aca="false">IF(A20=1,Supuestos!$B$18,IF(A20=2,Supuestos!$B$19,IF(A20=3,Supuestos!$B$20,IF(A20&lt;=15,(1+Supuestos!$B$21)^(1/12)-1,IF(A20&lt;=27,(1+Supuestos!$B$22)^(1/12)-1,(1+Supuestos!$B$23)^(1/12)-1)))))</f>
        <v>0.0156613370474366</v>
      </c>
      <c r="D20" s="19" t="n">
        <f aca="false">D19*(1+C20)</f>
        <v>1.17274849126725</v>
      </c>
      <c r="E20" s="7" t="n">
        <f aca="false">K19</f>
        <v>29449654.7024457</v>
      </c>
      <c r="F20" s="7" t="n">
        <f aca="false">E20*$E$4</f>
        <v>143347.683396047</v>
      </c>
      <c r="G20" s="7" t="n">
        <f aca="false">H20-F20</f>
        <v>510129.833495743</v>
      </c>
      <c r="H20" s="7" t="n">
        <f aca="false">$E$5</f>
        <v>653477.51689179</v>
      </c>
      <c r="I20" s="7" t="n">
        <f aca="false">MAX(0,MIN(H20,$E$7-H20*(Supuestos!$B$14-A20)))</f>
        <v>0</v>
      </c>
      <c r="J20" s="7" t="n">
        <f aca="false">H20-I20</f>
        <v>653477.51689179</v>
      </c>
      <c r="K20" s="7" t="n">
        <f aca="false">E20-G20</f>
        <v>28939524.86895</v>
      </c>
      <c r="L20" s="7" t="n">
        <f aca="false">J20/D20</f>
        <v>557218.808429805</v>
      </c>
      <c r="M20" s="7" t="n">
        <f aca="false">F20/D20</f>
        <v>122232.247121587</v>
      </c>
      <c r="N20" s="7" t="n">
        <f aca="false">G20/D20</f>
        <v>434986.561308218</v>
      </c>
      <c r="O20" s="7" t="n">
        <f aca="false">I20/D20</f>
        <v>0</v>
      </c>
      <c r="P20" s="7" t="n">
        <f aca="false">E20*(1/D19-1/D20)</f>
        <v>393282.081929809</v>
      </c>
    </row>
    <row r="21" customFormat="false" ht="14.25" hidden="false" customHeight="false" outlineLevel="0" collapsed="false">
      <c r="A21" s="5" t="n">
        <v>11</v>
      </c>
      <c r="B21" s="5" t="n">
        <f aca="false">ROUNDUP(A21/12,0)</f>
        <v>1</v>
      </c>
      <c r="C21" s="20" t="n">
        <f aca="false">IF(A21=1,Supuestos!$B$18,IF(A21=2,Supuestos!$B$19,IF(A21=3,Supuestos!$B$20,IF(A21&lt;=15,(1+Supuestos!$B$21)^(1/12)-1,IF(A21&lt;=27,(1+Supuestos!$B$22)^(1/12)-1,(1+Supuestos!$B$23)^(1/12)-1)))))</f>
        <v>0.0156613370474366</v>
      </c>
      <c r="D21" s="19" t="n">
        <f aca="false">D20*(1+C21)</f>
        <v>1.19111530066086</v>
      </c>
      <c r="E21" s="7" t="n">
        <f aca="false">K20</f>
        <v>28939524.86895</v>
      </c>
      <c r="F21" s="7" t="n">
        <f aca="false">E21*$E$4</f>
        <v>140864.600636617</v>
      </c>
      <c r="G21" s="7" t="n">
        <f aca="false">H21-F21</f>
        <v>512612.916255173</v>
      </c>
      <c r="H21" s="7" t="n">
        <f aca="false">$E$5</f>
        <v>653477.51689179</v>
      </c>
      <c r="I21" s="7" t="n">
        <f aca="false">MAX(0,MIN(H21,$E$7-H21*(Supuestos!$B$14-A21)))</f>
        <v>0</v>
      </c>
      <c r="J21" s="7" t="n">
        <f aca="false">H21-I21</f>
        <v>653477.51689179</v>
      </c>
      <c r="K21" s="7" t="n">
        <f aca="false">E21-G21</f>
        <v>28426911.9526948</v>
      </c>
      <c r="L21" s="7" t="n">
        <f aca="false">J21/D21</f>
        <v>548626.582606423</v>
      </c>
      <c r="M21" s="7" t="n">
        <f aca="false">F21/D21</f>
        <v>118262.774861897</v>
      </c>
      <c r="N21" s="7" t="n">
        <f aca="false">G21/D21</f>
        <v>430363.807744525</v>
      </c>
      <c r="O21" s="7" t="n">
        <f aca="false">I21/D21</f>
        <v>0</v>
      </c>
      <c r="P21" s="7" t="n">
        <f aca="false">E21*(1/D20-1/D21)</f>
        <v>380510.310558376</v>
      </c>
    </row>
    <row r="22" customFormat="false" ht="14.25" hidden="false" customHeight="false" outlineLevel="0" collapsed="false">
      <c r="A22" s="5" t="n">
        <v>12</v>
      </c>
      <c r="B22" s="5" t="n">
        <f aca="false">ROUNDUP(A22/12,0)</f>
        <v>1</v>
      </c>
      <c r="C22" s="20" t="n">
        <f aca="false">IF(A22=1,Supuestos!$B$18,IF(A22=2,Supuestos!$B$19,IF(A22=3,Supuestos!$B$20,IF(A22&lt;=15,(1+Supuestos!$B$21)^(1/12)-1,IF(A22&lt;=27,(1+Supuestos!$B$22)^(1/12)-1,(1+Supuestos!$B$23)^(1/12)-1)))))</f>
        <v>0.0156613370474366</v>
      </c>
      <c r="D22" s="19" t="n">
        <f aca="false">D21*(1+C22)</f>
        <v>1.20976975884687</v>
      </c>
      <c r="E22" s="7" t="n">
        <f aca="false">K21</f>
        <v>28426911.9526948</v>
      </c>
      <c r="F22" s="7" t="n">
        <f aca="false">E22*$E$4</f>
        <v>138369.431346297</v>
      </c>
      <c r="G22" s="7" t="n">
        <f aca="false">H22-F22</f>
        <v>515108.085545493</v>
      </c>
      <c r="H22" s="7" t="n">
        <f aca="false">$E$5</f>
        <v>653477.51689179</v>
      </c>
      <c r="I22" s="7" t="n">
        <f aca="false">MAX(0,MIN(H22,$E$7-H22*(Supuestos!$B$14-A22)))</f>
        <v>0</v>
      </c>
      <c r="J22" s="7" t="n">
        <f aca="false">H22-I22</f>
        <v>653477.51689179</v>
      </c>
      <c r="K22" s="7" t="n">
        <f aca="false">E22-G22</f>
        <v>27911803.8671493</v>
      </c>
      <c r="L22" s="7" t="n">
        <f aca="false">J22/D22</f>
        <v>540166.847545167</v>
      </c>
      <c r="M22" s="7" t="n">
        <f aca="false">F22/D22</f>
        <v>114376.66575348</v>
      </c>
      <c r="N22" s="7" t="n">
        <f aca="false">G22/D22</f>
        <v>425790.181791686</v>
      </c>
      <c r="O22" s="7" t="n">
        <f aca="false">I22/D22</f>
        <v>0</v>
      </c>
      <c r="P22" s="7" t="n">
        <f aca="false">E22*(1/D21-1/D22)</f>
        <v>368006.760008048</v>
      </c>
    </row>
    <row r="23" customFormat="false" ht="14.25" hidden="false" customHeight="false" outlineLevel="0" collapsed="false">
      <c r="A23" s="5" t="n">
        <v>13</v>
      </c>
      <c r="B23" s="5" t="n">
        <f aca="false">ROUNDUP(A23/12,0)</f>
        <v>2</v>
      </c>
      <c r="C23" s="20" t="n">
        <f aca="false">IF(A23=1,Supuestos!$B$18,IF(A23=2,Supuestos!$B$19,IF(A23=3,Supuestos!$B$20,IF(A23&lt;=15,(1+Supuestos!$B$21)^(1/12)-1,IF(A23&lt;=27,(1+Supuestos!$B$22)^(1/12)-1,(1+Supuestos!$B$23)^(1/12)-1)))))</f>
        <v>0.0156613370474366</v>
      </c>
      <c r="D23" s="19" t="n">
        <f aca="false">D22*(1+C23)</f>
        <v>1.22871637078997</v>
      </c>
      <c r="E23" s="7" t="n">
        <f aca="false">K22</f>
        <v>27911803.8671493</v>
      </c>
      <c r="F23" s="7" t="n">
        <f aca="false">E23*$E$4</f>
        <v>135862.116693287</v>
      </c>
      <c r="G23" s="7" t="n">
        <f aca="false">H23-F23</f>
        <v>517615.400198503</v>
      </c>
      <c r="H23" s="7" t="n">
        <f aca="false">$E$5</f>
        <v>653477.51689179</v>
      </c>
      <c r="I23" s="7" t="n">
        <f aca="false">MAX(0,MIN(H23,$E$7-H23*(Supuestos!$B$14-A23)))</f>
        <v>0</v>
      </c>
      <c r="J23" s="7" t="n">
        <f aca="false">H23-I23</f>
        <v>653477.51689179</v>
      </c>
      <c r="K23" s="7" t="n">
        <f aca="false">E23-G23</f>
        <v>27394188.4669508</v>
      </c>
      <c r="L23" s="7" t="n">
        <f aca="false">J23/D23</f>
        <v>531837.560259457</v>
      </c>
      <c r="M23" s="7" t="n">
        <f aca="false">F23/D23</f>
        <v>110572.398905972</v>
      </c>
      <c r="N23" s="7" t="n">
        <f aca="false">G23/D23</f>
        <v>421265.161353484</v>
      </c>
      <c r="O23" s="7" t="n">
        <f aca="false">I23/D23</f>
        <v>0</v>
      </c>
      <c r="P23" s="7" t="n">
        <f aca="false">E23*(1/D22-1/D23)</f>
        <v>355766.536816241</v>
      </c>
    </row>
    <row r="24" customFormat="false" ht="14.25" hidden="false" customHeight="false" outlineLevel="0" collapsed="false">
      <c r="A24" s="5" t="n">
        <v>14</v>
      </c>
      <c r="B24" s="5" t="n">
        <f aca="false">ROUNDUP(A24/12,0)</f>
        <v>2</v>
      </c>
      <c r="C24" s="20" t="n">
        <f aca="false">IF(A24=1,Supuestos!$B$18,IF(A24=2,Supuestos!$B$19,IF(A24=3,Supuestos!$B$20,IF(A24&lt;=15,(1+Supuestos!$B$21)^(1/12)-1,IF(A24&lt;=27,(1+Supuestos!$B$22)^(1/12)-1,(1+Supuestos!$B$23)^(1/12)-1)))))</f>
        <v>0.0156613370474366</v>
      </c>
      <c r="D24" s="19" t="n">
        <f aca="false">D23*(1+C24)</f>
        <v>1.24795971200861</v>
      </c>
      <c r="E24" s="7" t="n">
        <f aca="false">K23</f>
        <v>27394188.4669508</v>
      </c>
      <c r="F24" s="7" t="n">
        <f aca="false">E24*$E$4</f>
        <v>133342.59755942</v>
      </c>
      <c r="G24" s="7" t="n">
        <f aca="false">H24-F24</f>
        <v>520134.919332369</v>
      </c>
      <c r="H24" s="7" t="n">
        <f aca="false">$E$5</f>
        <v>653477.51689179</v>
      </c>
      <c r="I24" s="7" t="n">
        <f aca="false">MAX(0,MIN(H24,$E$7-H24*(Supuestos!$B$14-A24)))</f>
        <v>0</v>
      </c>
      <c r="J24" s="7" t="n">
        <f aca="false">H24-I24</f>
        <v>653477.51689179</v>
      </c>
      <c r="K24" s="7" t="n">
        <f aca="false">E24-G24</f>
        <v>26874053.5476184</v>
      </c>
      <c r="L24" s="7" t="n">
        <f aca="false">J24/D24</f>
        <v>523636.709265243</v>
      </c>
      <c r="M24" s="7" t="n">
        <f aca="false">F24/D24</f>
        <v>106848.479383043</v>
      </c>
      <c r="N24" s="7" t="n">
        <f aca="false">G24/D24</f>
        <v>416788.2298822</v>
      </c>
      <c r="O24" s="7" t="n">
        <f aca="false">I24/D24</f>
        <v>0</v>
      </c>
      <c r="P24" s="7" t="n">
        <f aca="false">E24*(1/D23-1/D24)</f>
        <v>343784.831027423</v>
      </c>
    </row>
    <row r="25" customFormat="false" ht="14.25" hidden="false" customHeight="false" outlineLevel="0" collapsed="false">
      <c r="A25" s="5" t="n">
        <v>15</v>
      </c>
      <c r="B25" s="5" t="n">
        <f aca="false">ROUNDUP(A25/12,0)</f>
        <v>2</v>
      </c>
      <c r="C25" s="20" t="n">
        <f aca="false">IF(A25=1,Supuestos!$B$18,IF(A25=2,Supuestos!$B$19,IF(A25=3,Supuestos!$B$20,IF(A25&lt;=15,(1+Supuestos!$B$21)^(1/12)-1,IF(A25&lt;=27,(1+Supuestos!$B$22)^(1/12)-1,(1+Supuestos!$B$23)^(1/12)-1)))))</f>
        <v>0.0156613370474366</v>
      </c>
      <c r="D25" s="19" t="n">
        <f aca="false">D24*(1+C25)</f>
        <v>1.26750442968</v>
      </c>
      <c r="E25" s="7" t="n">
        <f aca="false">K24</f>
        <v>26874053.5476184</v>
      </c>
      <c r="F25" s="7" t="n">
        <f aca="false">E25*$E$4</f>
        <v>130810.814538769</v>
      </c>
      <c r="G25" s="7" t="n">
        <f aca="false">H25-F25</f>
        <v>522666.70235302</v>
      </c>
      <c r="H25" s="7" t="n">
        <f aca="false">$E$5</f>
        <v>653477.51689179</v>
      </c>
      <c r="I25" s="7" t="n">
        <f aca="false">MAX(0,MIN(H25,$E$7-H25*(Supuestos!$B$14-A25)))</f>
        <v>0</v>
      </c>
      <c r="J25" s="7" t="n">
        <f aca="false">H25-I25</f>
        <v>653477.51689179</v>
      </c>
      <c r="K25" s="7" t="n">
        <f aca="false">E25-G25</f>
        <v>26351386.8452654</v>
      </c>
      <c r="L25" s="7" t="n">
        <f aca="false">J25/D25</f>
        <v>515562.314095241</v>
      </c>
      <c r="M25" s="7" t="n">
        <f aca="false">F25/D25</f>
        <v>103203.437775594</v>
      </c>
      <c r="N25" s="7" t="n">
        <f aca="false">G25/D25</f>
        <v>412358.876319648</v>
      </c>
      <c r="O25" s="7" t="n">
        <f aca="false">I25/D25</f>
        <v>0</v>
      </c>
      <c r="P25" s="7" t="n">
        <f aca="false">E25*(1/D24-1/D25)</f>
        <v>332056.914819912</v>
      </c>
    </row>
    <row r="26" customFormat="false" ht="14.25" hidden="false" customHeight="false" outlineLevel="0" collapsed="false">
      <c r="A26" s="5" t="n">
        <v>16</v>
      </c>
      <c r="B26" s="5" t="n">
        <f aca="false">ROUNDUP(A26/12,0)</f>
        <v>2</v>
      </c>
      <c r="C26" s="20" t="n">
        <f aca="false">IF(A26=1,Supuestos!$B$18,IF(A26=2,Supuestos!$B$19,IF(A26=3,Supuestos!$B$20,IF(A26&lt;=15,(1+Supuestos!$B$21)^(1/12)-1,IF(A26&lt;=27,(1+Supuestos!$B$22)^(1/12)-1,(1+Supuestos!$B$23)^(1/12)-1)))))</f>
        <v>0.0110527242176297</v>
      </c>
      <c r="D26" s="19" t="n">
        <f aca="false">D25*(1+C26)</f>
        <v>1.28151380658588</v>
      </c>
      <c r="E26" s="7" t="n">
        <f aca="false">K25</f>
        <v>26351386.8452654</v>
      </c>
      <c r="F26" s="7" t="n">
        <f aca="false">E26*$E$4</f>
        <v>128266.707936245</v>
      </c>
      <c r="G26" s="7" t="n">
        <f aca="false">H26-F26</f>
        <v>525210.808955545</v>
      </c>
      <c r="H26" s="7" t="n">
        <f aca="false">$E$5</f>
        <v>653477.51689179</v>
      </c>
      <c r="I26" s="7" t="n">
        <f aca="false">MAX(0,MIN(H26,$E$7-H26*(Supuestos!$B$14-A26)))</f>
        <v>0</v>
      </c>
      <c r="J26" s="7" t="n">
        <f aca="false">H26-I26</f>
        <v>653477.51689179</v>
      </c>
      <c r="K26" s="7" t="n">
        <f aca="false">E26-G26</f>
        <v>25826176.0363098</v>
      </c>
      <c r="L26" s="7" t="n">
        <f aca="false">J26/D26</f>
        <v>509926.239993263</v>
      </c>
      <c r="M26" s="7" t="n">
        <f aca="false">F26/D26</f>
        <v>100089.993004418</v>
      </c>
      <c r="N26" s="7" t="n">
        <f aca="false">G26/D26</f>
        <v>409836.246988845</v>
      </c>
      <c r="O26" s="7" t="n">
        <f aca="false">I26/D26</f>
        <v>0</v>
      </c>
      <c r="P26" s="7" t="n">
        <f aca="false">E26*(1/D25-1/D26)</f>
        <v>227273.877234876</v>
      </c>
    </row>
    <row r="27" customFormat="false" ht="14.25" hidden="false" customHeight="false" outlineLevel="0" collapsed="false">
      <c r="A27" s="5" t="n">
        <v>17</v>
      </c>
      <c r="B27" s="5" t="n">
        <f aca="false">ROUNDUP(A27/12,0)</f>
        <v>2</v>
      </c>
      <c r="C27" s="20" t="n">
        <f aca="false">IF(A27=1,Supuestos!$B$18,IF(A27=2,Supuestos!$B$19,IF(A27=3,Supuestos!$B$20,IF(A27&lt;=15,(1+Supuestos!$B$21)^(1/12)-1,IF(A27&lt;=27,(1+Supuestos!$B$22)^(1/12)-1,(1+Supuestos!$B$23)^(1/12)-1)))))</f>
        <v>0.0110527242176297</v>
      </c>
      <c r="D27" s="19" t="n">
        <f aca="false">D26*(1+C27)</f>
        <v>1.29567802527116</v>
      </c>
      <c r="E27" s="7" t="n">
        <f aca="false">K26</f>
        <v>25826176.0363098</v>
      </c>
      <c r="F27" s="7" t="n">
        <f aca="false">E27*$E$4</f>
        <v>125710.217766189</v>
      </c>
      <c r="G27" s="7" t="n">
        <f aca="false">H27-F27</f>
        <v>527767.299125601</v>
      </c>
      <c r="H27" s="7" t="n">
        <f aca="false">$E$5</f>
        <v>653477.51689179</v>
      </c>
      <c r="I27" s="7" t="n">
        <f aca="false">MAX(0,MIN(H27,$E$7-H27*(Supuestos!$B$14-A27)))</f>
        <v>0</v>
      </c>
      <c r="J27" s="7" t="n">
        <f aca="false">H27-I27</f>
        <v>653477.51689179</v>
      </c>
      <c r="K27" s="7" t="n">
        <f aca="false">E27-G27</f>
        <v>25298408.7371842</v>
      </c>
      <c r="L27" s="7" t="n">
        <f aca="false">J27/D27</f>
        <v>504351.778872712</v>
      </c>
      <c r="M27" s="7" t="n">
        <f aca="false">F27/D27</f>
        <v>97022.7288834978</v>
      </c>
      <c r="N27" s="7" t="n">
        <f aca="false">G27/D27</f>
        <v>407329.049989214</v>
      </c>
      <c r="O27" s="7" t="n">
        <f aca="false">I27/D27</f>
        <v>0</v>
      </c>
      <c r="P27" s="7" t="n">
        <f aca="false">E27*(1/D26-1/D27)</f>
        <v>220309.054995012</v>
      </c>
    </row>
    <row r="28" customFormat="false" ht="14.25" hidden="false" customHeight="false" outlineLevel="0" collapsed="false">
      <c r="A28" s="5" t="n">
        <v>18</v>
      </c>
      <c r="B28" s="5" t="n">
        <f aca="false">ROUNDUP(A28/12,0)</f>
        <v>2</v>
      </c>
      <c r="C28" s="20" t="n">
        <f aca="false">IF(A28=1,Supuestos!$B$18,IF(A28=2,Supuestos!$B$19,IF(A28=3,Supuestos!$B$20,IF(A28&lt;=15,(1+Supuestos!$B$21)^(1/12)-1,IF(A28&lt;=27,(1+Supuestos!$B$22)^(1/12)-1,(1+Supuestos!$B$23)^(1/12)-1)))))</f>
        <v>0.0110527242176297</v>
      </c>
      <c r="D28" s="19" t="n">
        <f aca="false">D27*(1+C28)</f>
        <v>1.30999879715932</v>
      </c>
      <c r="E28" s="7" t="n">
        <f aca="false">K27</f>
        <v>25298408.7371842</v>
      </c>
      <c r="F28" s="7" t="n">
        <f aca="false">E28*$E$4</f>
        <v>123141.283750961</v>
      </c>
      <c r="G28" s="7" t="n">
        <f aca="false">H28-F28</f>
        <v>530336.233140829</v>
      </c>
      <c r="H28" s="7" t="n">
        <f aca="false">$E$5</f>
        <v>653477.51689179</v>
      </c>
      <c r="I28" s="7" t="n">
        <f aca="false">MAX(0,MIN(H28,$E$7-H28*(Supuestos!$B$14-A28)))</f>
        <v>0</v>
      </c>
      <c r="J28" s="7" t="n">
        <f aca="false">H28-I28</f>
        <v>653477.51689179</v>
      </c>
      <c r="K28" s="7" t="n">
        <f aca="false">E28-G28</f>
        <v>24768072.5040434</v>
      </c>
      <c r="L28" s="7" t="n">
        <f aca="false">J28/D28</f>
        <v>498838.257186823</v>
      </c>
      <c r="M28" s="7" t="n">
        <f aca="false">F28/D28</f>
        <v>94001.0662742497</v>
      </c>
      <c r="N28" s="7" t="n">
        <f aca="false">G28/D28</f>
        <v>404837.190912573</v>
      </c>
      <c r="O28" s="7" t="n">
        <f aca="false">I28/D28</f>
        <v>0</v>
      </c>
      <c r="P28" s="7" t="n">
        <f aca="false">E28*(1/D27-1/D28)</f>
        <v>213447.779893618</v>
      </c>
    </row>
    <row r="29" customFormat="false" ht="14.25" hidden="false" customHeight="false" outlineLevel="0" collapsed="false">
      <c r="A29" s="5" t="n">
        <v>19</v>
      </c>
      <c r="B29" s="5" t="n">
        <f aca="false">ROUNDUP(A29/12,0)</f>
        <v>2</v>
      </c>
      <c r="C29" s="20" t="n">
        <f aca="false">IF(A29=1,Supuestos!$B$18,IF(A29=2,Supuestos!$B$19,IF(A29=3,Supuestos!$B$20,IF(A29&lt;=15,(1+Supuestos!$B$21)^(1/12)-1,IF(A29&lt;=27,(1+Supuestos!$B$22)^(1/12)-1,(1+Supuestos!$B$23)^(1/12)-1)))))</f>
        <v>0.0110527242176297</v>
      </c>
      <c r="D29" s="19" t="n">
        <f aca="false">D28*(1+C29)</f>
        <v>1.32447785258975</v>
      </c>
      <c r="E29" s="7" t="n">
        <f aca="false">K28</f>
        <v>24768072.5040434</v>
      </c>
      <c r="F29" s="7" t="n">
        <f aca="false">E29*$E$4</f>
        <v>120559.845319514</v>
      </c>
      <c r="G29" s="7" t="n">
        <f aca="false">H29-F29</f>
        <v>532917.671572276</v>
      </c>
      <c r="H29" s="7" t="n">
        <f aca="false">$E$5</f>
        <v>653477.51689179</v>
      </c>
      <c r="I29" s="7" t="n">
        <f aca="false">MAX(0,MIN(H29,$E$7-H29*(Supuestos!$B$14-A29)))</f>
        <v>0</v>
      </c>
      <c r="J29" s="7" t="n">
        <f aca="false">H29-I29</f>
        <v>653477.51689179</v>
      </c>
      <c r="K29" s="7" t="n">
        <f aca="false">E29-G29</f>
        <v>24235154.8324711</v>
      </c>
      <c r="L29" s="7" t="n">
        <f aca="false">J29/D29</f>
        <v>493385.008751975</v>
      </c>
      <c r="M29" s="7" t="n">
        <f aca="false">F29/D29</f>
        <v>91024.432823685</v>
      </c>
      <c r="N29" s="7" t="n">
        <f aca="false">G29/D29</f>
        <v>402360.57592829</v>
      </c>
      <c r="O29" s="7" t="n">
        <f aca="false">I29/D29</f>
        <v>0</v>
      </c>
      <c r="P29" s="7" t="n">
        <f aca="false">E29*(1/D28-1/D29)</f>
        <v>206688.752291463</v>
      </c>
    </row>
    <row r="30" customFormat="false" ht="14.25" hidden="false" customHeight="false" outlineLevel="0" collapsed="false">
      <c r="A30" s="5" t="n">
        <v>20</v>
      </c>
      <c r="B30" s="5" t="n">
        <f aca="false">ROUNDUP(A30/12,0)</f>
        <v>2</v>
      </c>
      <c r="C30" s="20" t="n">
        <f aca="false">IF(A30=1,Supuestos!$B$18,IF(A30=2,Supuestos!$B$19,IF(A30=3,Supuestos!$B$20,IF(A30&lt;=15,(1+Supuestos!$B$21)^(1/12)-1,IF(A30&lt;=27,(1+Supuestos!$B$22)^(1/12)-1,(1+Supuestos!$B$23)^(1/12)-1)))))</f>
        <v>0.0110527242176297</v>
      </c>
      <c r="D30" s="19" t="n">
        <f aca="false">D29*(1+C30)</f>
        <v>1.33911694102678</v>
      </c>
      <c r="E30" s="7" t="n">
        <f aca="false">K29</f>
        <v>24235154.8324711</v>
      </c>
      <c r="F30" s="7" t="n">
        <f aca="false">E30*$E$4</f>
        <v>117965.841605971</v>
      </c>
      <c r="G30" s="7" t="n">
        <f aca="false">H30-F30</f>
        <v>535511.675285818</v>
      </c>
      <c r="H30" s="7" t="n">
        <f aca="false">$E$5</f>
        <v>653477.51689179</v>
      </c>
      <c r="I30" s="7" t="n">
        <f aca="false">MAX(0,MIN(H30,$E$7-H30*(Supuestos!$B$14-A30)))</f>
        <v>0</v>
      </c>
      <c r="J30" s="7" t="n">
        <f aca="false">H30-I30</f>
        <v>653477.51689179</v>
      </c>
      <c r="K30" s="7" t="n">
        <f aca="false">E30-G30</f>
        <v>23699643.1571853</v>
      </c>
      <c r="L30" s="7" t="n">
        <f aca="false">J30/D30</f>
        <v>487991.374667196</v>
      </c>
      <c r="M30" s="7" t="n">
        <f aca="false">F30/D30</f>
        <v>88092.2628874516</v>
      </c>
      <c r="N30" s="7" t="n">
        <f aca="false">G30/D30</f>
        <v>399899.111779744</v>
      </c>
      <c r="O30" s="7" t="n">
        <f aca="false">I30/D30</f>
        <v>0</v>
      </c>
      <c r="P30" s="7" t="n">
        <f aca="false">E30*(1/D29-1/D30)</f>
        <v>200030.687782555</v>
      </c>
    </row>
    <row r="31" customFormat="false" ht="14.25" hidden="false" customHeight="false" outlineLevel="0" collapsed="false">
      <c r="A31" s="5" t="n">
        <v>21</v>
      </c>
      <c r="B31" s="5" t="n">
        <f aca="false">ROUNDUP(A31/12,0)</f>
        <v>2</v>
      </c>
      <c r="C31" s="20" t="n">
        <f aca="false">IF(A31=1,Supuestos!$B$18,IF(A31=2,Supuestos!$B$19,IF(A31=3,Supuestos!$B$20,IF(A31&lt;=15,(1+Supuestos!$B$21)^(1/12)-1,IF(A31&lt;=27,(1+Supuestos!$B$22)^(1/12)-1,(1+Supuestos!$B$23)^(1/12)-1)))))</f>
        <v>0.0110527242176297</v>
      </c>
      <c r="D31" s="19" t="n">
        <f aca="false">D30*(1+C31)</f>
        <v>1.35391783127111</v>
      </c>
      <c r="E31" s="7" t="n">
        <f aca="false">K30</f>
        <v>23699643.1571853</v>
      </c>
      <c r="F31" s="7" t="n">
        <f aca="false">E31*$E$4</f>
        <v>115359.211448186</v>
      </c>
      <c r="G31" s="7" t="n">
        <f aca="false">H31-F31</f>
        <v>538118.305443604</v>
      </c>
      <c r="H31" s="7" t="n">
        <f aca="false">$E$5</f>
        <v>653477.51689179</v>
      </c>
      <c r="I31" s="7" t="n">
        <f aca="false">MAX(0,MIN(H31,$E$7-H31*(Supuestos!$B$14-A31)))</f>
        <v>0</v>
      </c>
      <c r="J31" s="7" t="n">
        <f aca="false">H31-I31</f>
        <v>653477.51689179</v>
      </c>
      <c r="K31" s="7" t="n">
        <f aca="false">E31-G31</f>
        <v>23161524.8517417</v>
      </c>
      <c r="L31" s="7" t="n">
        <f aca="false">J31/D31</f>
        <v>482656.703234554</v>
      </c>
      <c r="M31" s="7" t="n">
        <f aca="false">F31/D31</f>
        <v>85203.9974537322</v>
      </c>
      <c r="N31" s="7" t="n">
        <f aca="false">G31/D31</f>
        <v>397452.705780822</v>
      </c>
      <c r="O31" s="7" t="n">
        <f aca="false">I31/D31</f>
        <v>0</v>
      </c>
      <c r="P31" s="7" t="n">
        <f aca="false">E31*(1/D30-1/D31)</f>
        <v>193472.317021396</v>
      </c>
    </row>
    <row r="32" customFormat="false" ht="14.25" hidden="false" customHeight="false" outlineLevel="0" collapsed="false">
      <c r="A32" s="5" t="n">
        <v>22</v>
      </c>
      <c r="B32" s="5" t="n">
        <f aca="false">ROUNDUP(A32/12,0)</f>
        <v>2</v>
      </c>
      <c r="C32" s="20" t="n">
        <f aca="false">IF(A32=1,Supuestos!$B$18,IF(A32=2,Supuestos!$B$19,IF(A32=3,Supuestos!$B$20,IF(A32&lt;=15,(1+Supuestos!$B$21)^(1/12)-1,IF(A32&lt;=27,(1+Supuestos!$B$22)^(1/12)-1,(1+Supuestos!$B$23)^(1/12)-1)))))</f>
        <v>0.0110527242176297</v>
      </c>
      <c r="D32" s="19" t="n">
        <f aca="false">D31*(1+C32)</f>
        <v>1.36888231167348</v>
      </c>
      <c r="E32" s="7" t="n">
        <f aca="false">K31</f>
        <v>23161524.8517417</v>
      </c>
      <c r="F32" s="7" t="n">
        <f aca="false">E32*$E$4</f>
        <v>112739.893386302</v>
      </c>
      <c r="G32" s="7" t="n">
        <f aca="false">H32-F32</f>
        <v>540737.623505487</v>
      </c>
      <c r="H32" s="7" t="n">
        <f aca="false">$E$5</f>
        <v>653477.51689179</v>
      </c>
      <c r="I32" s="7" t="n">
        <f aca="false">MAX(0,MIN(H32,$E$7-H32*(Supuestos!$B$14-A32)))</f>
        <v>0</v>
      </c>
      <c r="J32" s="7" t="n">
        <f aca="false">H32-I32</f>
        <v>653477.51689179</v>
      </c>
      <c r="K32" s="7" t="n">
        <f aca="false">E32-G32</f>
        <v>22620787.2282362</v>
      </c>
      <c r="L32" s="7" t="n">
        <f aca="false">J32/D32</f>
        <v>477380.349880411</v>
      </c>
      <c r="M32" s="7" t="n">
        <f aca="false">F32/D32</f>
        <v>82359.0840679915</v>
      </c>
      <c r="N32" s="7" t="n">
        <f aca="false">G32/D32</f>
        <v>395021.265812419</v>
      </c>
      <c r="O32" s="7" t="n">
        <f aca="false">I32/D32</f>
        <v>0</v>
      </c>
      <c r="P32" s="7" t="n">
        <f aca="false">E32*(1/D31-1/D32)</f>
        <v>187012.38555206</v>
      </c>
    </row>
    <row r="33" customFormat="false" ht="14.25" hidden="false" customHeight="false" outlineLevel="0" collapsed="false">
      <c r="A33" s="5" t="n">
        <v>23</v>
      </c>
      <c r="B33" s="5" t="n">
        <f aca="false">ROUNDUP(A33/12,0)</f>
        <v>2</v>
      </c>
      <c r="C33" s="20" t="n">
        <f aca="false">IF(A33=1,Supuestos!$B$18,IF(A33=2,Supuestos!$B$19,IF(A33=3,Supuestos!$B$20,IF(A33&lt;=15,(1+Supuestos!$B$21)^(1/12)-1,IF(A33&lt;=27,(1+Supuestos!$B$22)^(1/12)-1,(1+Supuestos!$B$23)^(1/12)-1)))))</f>
        <v>0.0110527242176297</v>
      </c>
      <c r="D33" s="19" t="n">
        <f aca="false">D32*(1+C33)</f>
        <v>1.3840121903508</v>
      </c>
      <c r="E33" s="7" t="n">
        <f aca="false">K32</f>
        <v>22620787.2282362</v>
      </c>
      <c r="F33" s="7" t="n">
        <f aca="false">E33*$E$4</f>
        <v>110107.825661306</v>
      </c>
      <c r="G33" s="7" t="n">
        <f aca="false">H33-F33</f>
        <v>543369.691230484</v>
      </c>
      <c r="H33" s="7" t="n">
        <f aca="false">$E$5</f>
        <v>653477.51689179</v>
      </c>
      <c r="I33" s="7" t="n">
        <f aca="false">MAX(0,MIN(H33,$E$7-H33*(Supuestos!$B$14-A33)))</f>
        <v>0</v>
      </c>
      <c r="J33" s="7" t="n">
        <f aca="false">H33-I33</f>
        <v>653477.51689179</v>
      </c>
      <c r="K33" s="7" t="n">
        <f aca="false">E33-G33</f>
        <v>22077417.5370057</v>
      </c>
      <c r="L33" s="7" t="n">
        <f aca="false">J33/D33</f>
        <v>472161.677077539</v>
      </c>
      <c r="M33" s="7" t="n">
        <f aca="false">F33/D33</f>
        <v>79556.976758563</v>
      </c>
      <c r="N33" s="7" t="n">
        <f aca="false">G33/D33</f>
        <v>392604.700318976</v>
      </c>
      <c r="O33" s="7" t="n">
        <f aca="false">I33/D33</f>
        <v>0</v>
      </c>
      <c r="P33" s="7" t="n">
        <f aca="false">E33*(1/D32-1/D33)</f>
        <v>180649.653639252</v>
      </c>
    </row>
    <row r="34" customFormat="false" ht="14.25" hidden="false" customHeight="false" outlineLevel="0" collapsed="false">
      <c r="A34" s="5" t="n">
        <v>24</v>
      </c>
      <c r="B34" s="5" t="n">
        <f aca="false">ROUNDUP(A34/12,0)</f>
        <v>2</v>
      </c>
      <c r="C34" s="20" t="n">
        <f aca="false">IF(A34=1,Supuestos!$B$18,IF(A34=2,Supuestos!$B$19,IF(A34=3,Supuestos!$B$20,IF(A34&lt;=15,(1+Supuestos!$B$21)^(1/12)-1,IF(A34&lt;=27,(1+Supuestos!$B$22)^(1/12)-1,(1+Supuestos!$B$23)^(1/12)-1)))))</f>
        <v>0.0110527242176297</v>
      </c>
      <c r="D34" s="19" t="n">
        <f aca="false">D33*(1+C34)</f>
        <v>1.39930929540458</v>
      </c>
      <c r="E34" s="7" t="n">
        <f aca="false">K33</f>
        <v>22077417.5370057</v>
      </c>
      <c r="F34" s="7" t="n">
        <f aca="false">E34*$E$4</f>
        <v>107462.946213567</v>
      </c>
      <c r="G34" s="7" t="n">
        <f aca="false">H34-F34</f>
        <v>546014.570678223</v>
      </c>
      <c r="H34" s="7" t="n">
        <f aca="false">$E$5</f>
        <v>653477.51689179</v>
      </c>
      <c r="I34" s="7" t="n">
        <f aca="false">MAX(0,MIN(H34,$E$7-H34*(Supuestos!$B$14-A34)))</f>
        <v>0</v>
      </c>
      <c r="J34" s="7" t="n">
        <f aca="false">H34-I34</f>
        <v>653477.51689179</v>
      </c>
      <c r="K34" s="7" t="n">
        <f aca="false">E34-G34</f>
        <v>21531402.9663275</v>
      </c>
      <c r="L34" s="7" t="n">
        <f aca="false">J34/D34</f>
        <v>467000.054268096</v>
      </c>
      <c r="M34" s="7" t="n">
        <f aca="false">F34/D34</f>
        <v>76797.1359630654</v>
      </c>
      <c r="N34" s="7" t="n">
        <f aca="false">G34/D34</f>
        <v>390202.91830503</v>
      </c>
      <c r="O34" s="7" t="n">
        <f aca="false">I34/D34</f>
        <v>0</v>
      </c>
      <c r="P34" s="7" t="n">
        <f aca="false">E34*(1/D33-1/D34)</f>
        <v>174382.896101204</v>
      </c>
    </row>
    <row r="35" customFormat="false" ht="14.25" hidden="false" customHeight="false" outlineLevel="0" collapsed="false">
      <c r="A35" s="5" t="n">
        <v>25</v>
      </c>
      <c r="B35" s="5" t="n">
        <f aca="false">ROUNDUP(A35/12,0)</f>
        <v>3</v>
      </c>
      <c r="C35" s="20" t="n">
        <f aca="false">IF(A35=1,Supuestos!$B$18,IF(A35=2,Supuestos!$B$19,IF(A35=3,Supuestos!$B$20,IF(A35&lt;=15,(1+Supuestos!$B$21)^(1/12)-1,IF(A35&lt;=27,(1+Supuestos!$B$22)^(1/12)-1,(1+Supuestos!$B$23)^(1/12)-1)))))</f>
        <v>0.0110527242176297</v>
      </c>
      <c r="D35" s="19" t="n">
        <f aca="false">D34*(1+C35)</f>
        <v>1.41477547514185</v>
      </c>
      <c r="E35" s="7" t="n">
        <f aca="false">K34</f>
        <v>21531402.9663275</v>
      </c>
      <c r="F35" s="7" t="n">
        <f aca="false">E35*$E$4</f>
        <v>104805.192681377</v>
      </c>
      <c r="G35" s="7" t="n">
        <f aca="false">H35-F35</f>
        <v>548672.324210413</v>
      </c>
      <c r="H35" s="7" t="n">
        <f aca="false">$E$5</f>
        <v>653477.51689179</v>
      </c>
      <c r="I35" s="7" t="n">
        <f aca="false">MAX(0,MIN(H35,$E$7-H35*(Supuestos!$B$14-A35)))</f>
        <v>0</v>
      </c>
      <c r="J35" s="7" t="n">
        <f aca="false">H35-I35</f>
        <v>653477.51689179</v>
      </c>
      <c r="K35" s="7" t="n">
        <f aca="false">E35-G35</f>
        <v>20982730.6421171</v>
      </c>
      <c r="L35" s="7" t="n">
        <f aca="false">J35/D35</f>
        <v>461894.85778743</v>
      </c>
      <c r="M35" s="7" t="n">
        <f aca="false">F35/D35</f>
        <v>74079.0284556411</v>
      </c>
      <c r="N35" s="7" t="n">
        <f aca="false">G35/D35</f>
        <v>387815.829331789</v>
      </c>
      <c r="O35" s="7" t="n">
        <f aca="false">I35/D35</f>
        <v>0</v>
      </c>
      <c r="P35" s="7" t="n">
        <f aca="false">E35*(1/D34-1/D35)</f>
        <v>168210.902144464</v>
      </c>
    </row>
    <row r="36" customFormat="false" ht="14.25" hidden="false" customHeight="false" outlineLevel="0" collapsed="false">
      <c r="A36" s="5" t="n">
        <v>26</v>
      </c>
      <c r="B36" s="5" t="n">
        <f aca="false">ROUNDUP(A36/12,0)</f>
        <v>3</v>
      </c>
      <c r="C36" s="20" t="n">
        <f aca="false">IF(A36=1,Supuestos!$B$18,IF(A36=2,Supuestos!$B$19,IF(A36=3,Supuestos!$B$20,IF(A36&lt;=15,(1+Supuestos!$B$21)^(1/12)-1,IF(A36&lt;=27,(1+Supuestos!$B$22)^(1/12)-1,(1+Supuestos!$B$23)^(1/12)-1)))))</f>
        <v>0.0110527242176297</v>
      </c>
      <c r="D36" s="19" t="n">
        <f aca="false">D35*(1+C36)</f>
        <v>1.43041259829846</v>
      </c>
      <c r="E36" s="7" t="n">
        <f aca="false">K35</f>
        <v>20982730.6421171</v>
      </c>
      <c r="F36" s="7" t="n">
        <f aca="false">E36*$E$4</f>
        <v>102134.502399478</v>
      </c>
      <c r="G36" s="7" t="n">
        <f aca="false">H36-F36</f>
        <v>551343.014492312</v>
      </c>
      <c r="H36" s="7" t="n">
        <f aca="false">$E$5</f>
        <v>653477.51689179</v>
      </c>
      <c r="I36" s="7" t="n">
        <f aca="false">MAX(0,MIN(H36,$E$7-H36*(Supuestos!$B$14-A36)))</f>
        <v>0</v>
      </c>
      <c r="J36" s="7" t="n">
        <f aca="false">H36-I36</f>
        <v>653477.51689179</v>
      </c>
      <c r="K36" s="7" t="n">
        <f aca="false">E36-G36</f>
        <v>20431387.6276248</v>
      </c>
      <c r="L36" s="7" t="n">
        <f aca="false">J36/D36</f>
        <v>456845.470788729</v>
      </c>
      <c r="M36" s="7" t="n">
        <f aca="false">F36/D36</f>
        <v>71402.1272750055</v>
      </c>
      <c r="N36" s="7" t="n">
        <f aca="false">G36/D36</f>
        <v>385443.343513723</v>
      </c>
      <c r="O36" s="7" t="n">
        <f aca="false">I36/D36</f>
        <v>0</v>
      </c>
      <c r="P36" s="7" t="n">
        <f aca="false">E36*(1/D35-1/D36)</f>
        <v>162132.475200516</v>
      </c>
    </row>
    <row r="37" customFormat="false" ht="14.25" hidden="false" customHeight="false" outlineLevel="0" collapsed="false">
      <c r="A37" s="5" t="n">
        <v>27</v>
      </c>
      <c r="B37" s="5" t="n">
        <f aca="false">ROUNDUP(A37/12,0)</f>
        <v>3</v>
      </c>
      <c r="C37" s="20" t="n">
        <f aca="false">IF(A37=1,Supuestos!$B$18,IF(A37=2,Supuestos!$B$19,IF(A37=3,Supuestos!$B$20,IF(A37&lt;=15,(1+Supuestos!$B$21)^(1/12)-1,IF(A37&lt;=27,(1+Supuestos!$B$22)^(1/12)-1,(1+Supuestos!$B$23)^(1/12)-1)))))</f>
        <v>0.0110527242176297</v>
      </c>
      <c r="D37" s="19" t="n">
        <f aca="false">D36*(1+C37)</f>
        <v>1.44622255426488</v>
      </c>
      <c r="E37" s="7" t="n">
        <f aca="false">K36</f>
        <v>20431387.6276248</v>
      </c>
      <c r="F37" s="7" t="n">
        <f aca="false">E37*$E$4</f>
        <v>99450.8123975881</v>
      </c>
      <c r="G37" s="7" t="n">
        <f aca="false">H37-F37</f>
        <v>554026.704494202</v>
      </c>
      <c r="H37" s="7" t="n">
        <f aca="false">$E$5</f>
        <v>653477.51689179</v>
      </c>
      <c r="I37" s="7" t="n">
        <f aca="false">MAX(0,MIN(H37,$E$7-H37*(Supuestos!$B$14-A37)))</f>
        <v>0</v>
      </c>
      <c r="J37" s="7" t="n">
        <f aca="false">H37-I37</f>
        <v>653477.51689179</v>
      </c>
      <c r="K37" s="7" t="n">
        <f aca="false">E37-G37</f>
        <v>19877360.9231306</v>
      </c>
      <c r="L37" s="7" t="n">
        <f aca="false">J37/D37</f>
        <v>451851.283168485</v>
      </c>
      <c r="M37" s="7" t="n">
        <f aca="false">F37/D37</f>
        <v>68765.9116532997</v>
      </c>
      <c r="N37" s="7" t="n">
        <f aca="false">G37/D37</f>
        <v>383085.371515186</v>
      </c>
      <c r="O37" s="7" t="n">
        <f aca="false">I37/D37</f>
        <v>0</v>
      </c>
      <c r="P37" s="7" t="n">
        <f aca="false">E37*(1/D36-1/D37)</f>
        <v>156146.432764224</v>
      </c>
    </row>
    <row r="38" customFormat="false" ht="14.25" hidden="false" customHeight="false" outlineLevel="0" collapsed="false">
      <c r="A38" s="5" t="n">
        <v>28</v>
      </c>
      <c r="B38" s="5" t="n">
        <f aca="false">ROUNDUP(A38/12,0)</f>
        <v>3</v>
      </c>
      <c r="C38" s="20" t="n">
        <f aca="false">IF(A38=1,Supuestos!$B$18,IF(A38=2,Supuestos!$B$19,IF(A38=3,Supuestos!$B$20,IF(A38&lt;=15,(1+Supuestos!$B$21)^(1/12)-1,IF(A38&lt;=27,(1+Supuestos!$B$22)^(1/12)-1,(1+Supuestos!$B$23)^(1/12)-1)))))</f>
        <v>0.0110527242176297</v>
      </c>
      <c r="D38" s="19" t="n">
        <f aca="false">D37*(1+C38)</f>
        <v>1.46220725331448</v>
      </c>
      <c r="E38" s="7" t="n">
        <f aca="false">K37</f>
        <v>19877360.9231306</v>
      </c>
      <c r="F38" s="7" t="n">
        <f aca="false">E38*$E$4</f>
        <v>96754.0593989122</v>
      </c>
      <c r="G38" s="7" t="n">
        <f aca="false">H38-F38</f>
        <v>556723.457492878</v>
      </c>
      <c r="H38" s="7" t="n">
        <f aca="false">$E$5</f>
        <v>653477.51689179</v>
      </c>
      <c r="I38" s="7" t="n">
        <f aca="false">MAX(0,MIN(H38,$E$7-H38*(Supuestos!$B$14-A38)))</f>
        <v>0</v>
      </c>
      <c r="J38" s="7" t="n">
        <f aca="false">H38-I38</f>
        <v>653477.51689179</v>
      </c>
      <c r="K38" s="7" t="n">
        <f aca="false">E38-G38</f>
        <v>19320637.4656377</v>
      </c>
      <c r="L38" s="7" t="n">
        <f aca="false">J38/D38</f>
        <v>446911.691492781</v>
      </c>
      <c r="M38" s="7" t="n">
        <f aca="false">F38/D38</f>
        <v>66169.8669457378</v>
      </c>
      <c r="N38" s="7" t="n">
        <f aca="false">G38/D38</f>
        <v>380741.824547043</v>
      </c>
      <c r="O38" s="7" t="n">
        <f aca="false">I38/D38</f>
        <v>0</v>
      </c>
      <c r="P38" s="7" t="n">
        <f aca="false">E38*(1/D37-1/D38)</f>
        <v>150251.6062341</v>
      </c>
    </row>
    <row r="39" customFormat="false" ht="14.25" hidden="false" customHeight="false" outlineLevel="0" collapsed="false">
      <c r="A39" s="5" t="n">
        <v>29</v>
      </c>
      <c r="B39" s="5" t="n">
        <f aca="false">ROUNDUP(A39/12,0)</f>
        <v>3</v>
      </c>
      <c r="C39" s="20" t="n">
        <f aca="false">IF(A39=1,Supuestos!$B$18,IF(A39=2,Supuestos!$B$19,IF(A39=3,Supuestos!$B$20,IF(A39&lt;=15,(1+Supuestos!$B$21)^(1/12)-1,IF(A39&lt;=27,(1+Supuestos!$B$22)^(1/12)-1,(1+Supuestos!$B$23)^(1/12)-1)))))</f>
        <v>0.0110527242176297</v>
      </c>
      <c r="D39" s="19" t="n">
        <f aca="false">D38*(1+C39)</f>
        <v>1.47836862683439</v>
      </c>
      <c r="E39" s="7" t="n">
        <f aca="false">K38</f>
        <v>19320637.4656377</v>
      </c>
      <c r="F39" s="7" t="n">
        <f aca="false">E39*$E$4</f>
        <v>94044.179818653</v>
      </c>
      <c r="G39" s="7" t="n">
        <f aca="false">H39-F39</f>
        <v>559433.337073137</v>
      </c>
      <c r="H39" s="7" t="n">
        <f aca="false">$E$5</f>
        <v>653477.51689179</v>
      </c>
      <c r="I39" s="7" t="n">
        <f aca="false">MAX(0,MIN(H39,$E$7-H39*(Supuestos!$B$14-A39)))</f>
        <v>0</v>
      </c>
      <c r="J39" s="7" t="n">
        <f aca="false">H39-I39</f>
        <v>653477.51689179</v>
      </c>
      <c r="K39" s="7" t="n">
        <f aca="false">E39-G39</f>
        <v>18761204.1285646</v>
      </c>
      <c r="L39" s="7" t="n">
        <f aca="false">J39/D39</f>
        <v>442026.098924375</v>
      </c>
      <c r="M39" s="7" t="n">
        <f aca="false">F39/D39</f>
        <v>63613.4845610385</v>
      </c>
      <c r="N39" s="7" t="n">
        <f aca="false">G39/D39</f>
        <v>378412.614363337</v>
      </c>
      <c r="O39" s="7" t="n">
        <f aca="false">I39/D39</f>
        <v>0</v>
      </c>
      <c r="P39" s="7" t="n">
        <f aca="false">E39*(1/D38-1/D39)</f>
        <v>144446.840754299</v>
      </c>
    </row>
    <row r="40" customFormat="false" ht="14.25" hidden="false" customHeight="false" outlineLevel="0" collapsed="false">
      <c r="A40" s="5" t="n">
        <v>30</v>
      </c>
      <c r="B40" s="5" t="n">
        <f aca="false">ROUNDUP(A40/12,0)</f>
        <v>3</v>
      </c>
      <c r="C40" s="20" t="n">
        <f aca="false">IF(A40=1,Supuestos!$B$18,IF(A40=2,Supuestos!$B$19,IF(A40=3,Supuestos!$B$20,IF(A40&lt;=15,(1+Supuestos!$B$21)^(1/12)-1,IF(A40&lt;=27,(1+Supuestos!$B$22)^(1/12)-1,(1+Supuestos!$B$23)^(1/12)-1)))))</f>
        <v>0.0110527242176297</v>
      </c>
      <c r="D40" s="19" t="n">
        <f aca="false">D39*(1+C40)</f>
        <v>1.49470862755878</v>
      </c>
      <c r="E40" s="7" t="n">
        <f aca="false">K39</f>
        <v>18761204.1285646</v>
      </c>
      <c r="F40" s="7" t="n">
        <f aca="false">E40*$E$4</f>
        <v>91321.1097625109</v>
      </c>
      <c r="G40" s="7" t="n">
        <f aca="false">H40-F40</f>
        <v>562156.407129279</v>
      </c>
      <c r="H40" s="7" t="n">
        <f aca="false">$E$5</f>
        <v>653477.51689179</v>
      </c>
      <c r="I40" s="7" t="n">
        <f aca="false">MAX(0,MIN(H40,$E$7-H40*(Supuestos!$B$14-A40)))</f>
        <v>0</v>
      </c>
      <c r="J40" s="7" t="n">
        <f aca="false">H40-I40</f>
        <v>653477.51689179</v>
      </c>
      <c r="K40" s="7" t="n">
        <f aca="false">E40-G40</f>
        <v>18199047.7214353</v>
      </c>
      <c r="L40" s="7" t="n">
        <f aca="false">J40/D40</f>
        <v>437193.91515059</v>
      </c>
      <c r="M40" s="7" t="n">
        <f aca="false">F40/D40</f>
        <v>61096.261892634</v>
      </c>
      <c r="N40" s="7" t="n">
        <f aca="false">G40/D40</f>
        <v>376097.653257956</v>
      </c>
      <c r="O40" s="7" t="n">
        <f aca="false">I40/D40</f>
        <v>0</v>
      </c>
      <c r="P40" s="7" t="n">
        <f aca="false">E40*(1/D39-1/D40)</f>
        <v>138730.99505845</v>
      </c>
    </row>
    <row r="41" customFormat="false" ht="14.25" hidden="false" customHeight="false" outlineLevel="0" collapsed="false">
      <c r="A41" s="5" t="n">
        <v>31</v>
      </c>
      <c r="B41" s="5" t="n">
        <f aca="false">ROUNDUP(A41/12,0)</f>
        <v>3</v>
      </c>
      <c r="C41" s="20" t="n">
        <f aca="false">IF(A41=1,Supuestos!$B$18,IF(A41=2,Supuestos!$B$19,IF(A41=3,Supuestos!$B$20,IF(A41&lt;=15,(1+Supuestos!$B$21)^(1/12)-1,IF(A41&lt;=27,(1+Supuestos!$B$22)^(1/12)-1,(1+Supuestos!$B$23)^(1/12)-1)))))</f>
        <v>0.0110527242176297</v>
      </c>
      <c r="D41" s="19" t="n">
        <f aca="false">D40*(1+C41)</f>
        <v>1.5112292298049</v>
      </c>
      <c r="E41" s="7" t="n">
        <f aca="false">K40</f>
        <v>18199047.7214353</v>
      </c>
      <c r="F41" s="7" t="n">
        <f aca="false">E41*$E$4</f>
        <v>88584.7850251775</v>
      </c>
      <c r="G41" s="7" t="n">
        <f aca="false">H41-F41</f>
        <v>564892.731866612</v>
      </c>
      <c r="H41" s="7" t="n">
        <f aca="false">$E$5</f>
        <v>653477.51689179</v>
      </c>
      <c r="I41" s="7" t="n">
        <f aca="false">MAX(0,MIN(H41,$E$7-H41*(Supuestos!$B$14-A41)))</f>
        <v>0</v>
      </c>
      <c r="J41" s="7" t="n">
        <f aca="false">H41-I41</f>
        <v>653477.51689179</v>
      </c>
      <c r="K41" s="7" t="n">
        <f aca="false">E41-G41</f>
        <v>17634154.9895687</v>
      </c>
      <c r="L41" s="7" t="n">
        <f aca="false">J41/D41</f>
        <v>432414.556311985</v>
      </c>
      <c r="M41" s="7" t="n">
        <f aca="false">F41/D41</f>
        <v>58617.7022506465</v>
      </c>
      <c r="N41" s="7" t="n">
        <f aca="false">G41/D41</f>
        <v>373796.854061339</v>
      </c>
      <c r="O41" s="7" t="n">
        <f aca="false">I41/D41</f>
        <v>0</v>
      </c>
      <c r="P41" s="7" t="n">
        <f aca="false">E41*(1/D40-1/D41)</f>
        <v>133102.941315182</v>
      </c>
    </row>
    <row r="42" customFormat="false" ht="14.25" hidden="false" customHeight="false" outlineLevel="0" collapsed="false">
      <c r="A42" s="5" t="n">
        <v>32</v>
      </c>
      <c r="B42" s="5" t="n">
        <f aca="false">ROUNDUP(A42/12,0)</f>
        <v>3</v>
      </c>
      <c r="C42" s="20" t="n">
        <f aca="false">IF(A42=1,Supuestos!$B$18,IF(A42=2,Supuestos!$B$19,IF(A42=3,Supuestos!$B$20,IF(A42&lt;=15,(1+Supuestos!$B$21)^(1/12)-1,IF(A42&lt;=27,(1+Supuestos!$B$22)^(1/12)-1,(1+Supuestos!$B$23)^(1/12)-1)))))</f>
        <v>0.0110527242176297</v>
      </c>
      <c r="D42" s="19" t="n">
        <f aca="false">D41*(1+C42)</f>
        <v>1.52793242971156</v>
      </c>
      <c r="E42" s="7" t="n">
        <f aca="false">K41</f>
        <v>17634154.9895687</v>
      </c>
      <c r="F42" s="7" t="n">
        <f aca="false">E42*$E$4</f>
        <v>85835.141088822</v>
      </c>
      <c r="G42" s="7" t="n">
        <f aca="false">H42-F42</f>
        <v>567642.375802968</v>
      </c>
      <c r="H42" s="7" t="n">
        <f aca="false">$E$5</f>
        <v>653477.51689179</v>
      </c>
      <c r="I42" s="7" t="n">
        <f aca="false">MAX(0,MIN(H42,$E$7-H42*(Supuestos!$B$14-A42)))</f>
        <v>0</v>
      </c>
      <c r="J42" s="7" t="n">
        <f aca="false">H42-I42</f>
        <v>653477.51689179</v>
      </c>
      <c r="K42" s="7" t="n">
        <f aca="false">E42-G42</f>
        <v>17066512.6137657</v>
      </c>
      <c r="L42" s="7" t="n">
        <f aca="false">J42/D42</f>
        <v>427687.444931811</v>
      </c>
      <c r="M42" s="7" t="n">
        <f aca="false">F42/D42</f>
        <v>56177.3147946248</v>
      </c>
      <c r="N42" s="7" t="n">
        <f aca="false">G42/D42</f>
        <v>371510.130137186</v>
      </c>
      <c r="O42" s="7" t="n">
        <f aca="false">I42/D42</f>
        <v>0</v>
      </c>
      <c r="P42" s="7" t="n">
        <f aca="false">E42*(1/D41-1/D42)</f>
        <v>127561.56497538</v>
      </c>
    </row>
    <row r="43" customFormat="false" ht="14.25" hidden="false" customHeight="false" outlineLevel="0" collapsed="false">
      <c r="A43" s="5" t="n">
        <v>33</v>
      </c>
      <c r="B43" s="5" t="n">
        <f aca="false">ROUNDUP(A43/12,0)</f>
        <v>3</v>
      </c>
      <c r="C43" s="20" t="n">
        <f aca="false">IF(A43=1,Supuestos!$B$18,IF(A43=2,Supuestos!$B$19,IF(A43=3,Supuestos!$B$20,IF(A43&lt;=15,(1+Supuestos!$B$21)^(1/12)-1,IF(A43&lt;=27,(1+Supuestos!$B$22)^(1/12)-1,(1+Supuestos!$B$23)^(1/12)-1)))))</f>
        <v>0.0110527242176297</v>
      </c>
      <c r="D43" s="19" t="n">
        <f aca="false">D42*(1+C43)</f>
        <v>1.54482024548033</v>
      </c>
      <c r="E43" s="7" t="n">
        <f aca="false">K42</f>
        <v>17066512.6137657</v>
      </c>
      <c r="F43" s="7" t="n">
        <f aca="false">E43*$E$4</f>
        <v>83072.1131215696</v>
      </c>
      <c r="G43" s="7" t="n">
        <f aca="false">H43-F43</f>
        <v>570405.40377022</v>
      </c>
      <c r="H43" s="7" t="n">
        <f aca="false">$E$5</f>
        <v>653477.51689179</v>
      </c>
      <c r="I43" s="7" t="n">
        <f aca="false">MAX(0,MIN(H43,$E$7-H43*(Supuestos!$B$14-A43)))</f>
        <v>0</v>
      </c>
      <c r="J43" s="7" t="n">
        <f aca="false">H43-I43</f>
        <v>653477.51689179</v>
      </c>
      <c r="K43" s="7" t="n">
        <f aca="false">E43-G43</f>
        <v>16496107.2099955</v>
      </c>
      <c r="L43" s="7" t="n">
        <f aca="false">J43/D43</f>
        <v>423012.009846235</v>
      </c>
      <c r="M43" s="7" t="n">
        <f aca="false">F43/D43</f>
        <v>53774.6144670314</v>
      </c>
      <c r="N43" s="7" t="n">
        <f aca="false">G43/D43</f>
        <v>369237.395379204</v>
      </c>
      <c r="O43" s="7" t="n">
        <f aca="false">I43/D43</f>
        <v>0</v>
      </c>
      <c r="P43" s="7" t="n">
        <f aca="false">E43*(1/D42-1/D43)</f>
        <v>122105.764621177</v>
      </c>
    </row>
    <row r="44" customFormat="false" ht="14.25" hidden="false" customHeight="false" outlineLevel="0" collapsed="false">
      <c r="A44" s="5" t="n">
        <v>34</v>
      </c>
      <c r="B44" s="5" t="n">
        <f aca="false">ROUNDUP(A44/12,0)</f>
        <v>3</v>
      </c>
      <c r="C44" s="20" t="n">
        <f aca="false">IF(A44=1,Supuestos!$B$18,IF(A44=2,Supuestos!$B$19,IF(A44=3,Supuestos!$B$20,IF(A44&lt;=15,(1+Supuestos!$B$21)^(1/12)-1,IF(A44&lt;=27,(1+Supuestos!$B$22)^(1/12)-1,(1+Supuestos!$B$23)^(1/12)-1)))))</f>
        <v>0.0110527242176297</v>
      </c>
      <c r="D44" s="19" t="n">
        <f aca="false">D43*(1+C44)</f>
        <v>1.56189471761944</v>
      </c>
      <c r="E44" s="7" t="n">
        <f aca="false">K43</f>
        <v>16496107.2099955</v>
      </c>
      <c r="F44" s="7" t="n">
        <f aca="false">E44*$E$4</f>
        <v>80295.6359759732</v>
      </c>
      <c r="G44" s="7" t="n">
        <f aca="false">H44-F44</f>
        <v>573181.880915816</v>
      </c>
      <c r="H44" s="7" t="n">
        <f aca="false">$E$5</f>
        <v>653477.51689179</v>
      </c>
      <c r="I44" s="7" t="n">
        <f aca="false">MAX(0,MIN(H44,$E$7-H44*(Supuestos!$B$14-A44)))</f>
        <v>0</v>
      </c>
      <c r="J44" s="7" t="n">
        <f aca="false">H44-I44</f>
        <v>653477.51689179</v>
      </c>
      <c r="K44" s="7" t="n">
        <f aca="false">E44-G44</f>
        <v>15922925.3290797</v>
      </c>
      <c r="L44" s="7" t="n">
        <f aca="false">J44/D44</f>
        <v>418387.686135329</v>
      </c>
      <c r="M44" s="7" t="n">
        <f aca="false">F44/D44</f>
        <v>51409.1219274727</v>
      </c>
      <c r="N44" s="7" t="n">
        <f aca="false">G44/D44</f>
        <v>366978.564207857</v>
      </c>
      <c r="O44" s="7" t="n">
        <f aca="false">I44/D44</f>
        <v>0</v>
      </c>
      <c r="P44" s="7" t="n">
        <f aca="false">E44*(1/D43-1/D44)</f>
        <v>116734.451816591</v>
      </c>
    </row>
    <row r="45" customFormat="false" ht="14.25" hidden="false" customHeight="false" outlineLevel="0" collapsed="false">
      <c r="A45" s="5" t="n">
        <v>35</v>
      </c>
      <c r="B45" s="5" t="n">
        <f aca="false">ROUNDUP(A45/12,0)</f>
        <v>3</v>
      </c>
      <c r="C45" s="20" t="n">
        <f aca="false">IF(A45=1,Supuestos!$B$18,IF(A45=2,Supuestos!$B$19,IF(A45=3,Supuestos!$B$20,IF(A45&lt;=15,(1+Supuestos!$B$21)^(1/12)-1,IF(A45&lt;=27,(1+Supuestos!$B$22)^(1/12)-1,(1+Supuestos!$B$23)^(1/12)-1)))))</f>
        <v>0.0110527242176297</v>
      </c>
      <c r="D45" s="19" t="n">
        <f aca="false">D44*(1+C45)</f>
        <v>1.57915790919026</v>
      </c>
      <c r="E45" s="7" t="n">
        <f aca="false">K44</f>
        <v>15922925.3290797</v>
      </c>
      <c r="F45" s="7" t="n">
        <f aca="false">E45*$E$4</f>
        <v>77505.644187477</v>
      </c>
      <c r="G45" s="7" t="n">
        <f aca="false">H45-F45</f>
        <v>575971.872704313</v>
      </c>
      <c r="H45" s="7" t="n">
        <f aca="false">$E$5</f>
        <v>653477.51689179</v>
      </c>
      <c r="I45" s="7" t="n">
        <f aca="false">MAX(0,MIN(H45,$E$7-H45*(Supuestos!$B$14-A45)))</f>
        <v>0</v>
      </c>
      <c r="J45" s="7" t="n">
        <f aca="false">H45-I45</f>
        <v>653477.51689179</v>
      </c>
      <c r="K45" s="7" t="n">
        <f aca="false">E45-G45</f>
        <v>15346953.4563754</v>
      </c>
      <c r="L45" s="7" t="n">
        <f aca="false">J45/D45</f>
        <v>413813.915054811</v>
      </c>
      <c r="M45" s="7" t="n">
        <f aca="false">F45/D45</f>
        <v>49080.3634876638</v>
      </c>
      <c r="N45" s="7" t="n">
        <f aca="false">G45/D45</f>
        <v>364733.551567147</v>
      </c>
      <c r="O45" s="7" t="n">
        <f aca="false">I45/D45</f>
        <v>0</v>
      </c>
      <c r="P45" s="7" t="n">
        <f aca="false">E45*(1/D44-1/D45)</f>
        <v>111446.550959856</v>
      </c>
    </row>
    <row r="46" customFormat="false" ht="14.25" hidden="false" customHeight="false" outlineLevel="0" collapsed="false">
      <c r="A46" s="5" t="n">
        <v>36</v>
      </c>
      <c r="B46" s="5" t="n">
        <f aca="false">ROUNDUP(A46/12,0)</f>
        <v>3</v>
      </c>
      <c r="C46" s="20" t="n">
        <f aca="false">IF(A46=1,Supuestos!$B$18,IF(A46=2,Supuestos!$B$19,IF(A46=3,Supuestos!$B$20,IF(A46&lt;=15,(1+Supuestos!$B$21)^(1/12)-1,IF(A46&lt;=27,(1+Supuestos!$B$22)^(1/12)-1,(1+Supuestos!$B$23)^(1/12)-1)))))</f>
        <v>0.0110527242176297</v>
      </c>
      <c r="D46" s="19" t="n">
        <f aca="false">D45*(1+C46)</f>
        <v>1.59661190605663</v>
      </c>
      <c r="E46" s="7" t="n">
        <f aca="false">K45</f>
        <v>15346953.4563754</v>
      </c>
      <c r="F46" s="7" t="n">
        <f aca="false">E46*$E$4</f>
        <v>74702.0719728734</v>
      </c>
      <c r="G46" s="7" t="n">
        <f aca="false">H46-F46</f>
        <v>578775.444918916</v>
      </c>
      <c r="H46" s="7" t="n">
        <f aca="false">$E$5</f>
        <v>653477.51689179</v>
      </c>
      <c r="I46" s="7" t="n">
        <f aca="false">MAX(0,MIN(H46,$E$7-H46*(Supuestos!$B$14-A46)))</f>
        <v>0</v>
      </c>
      <c r="J46" s="7" t="n">
        <f aca="false">H46-I46</f>
        <v>653477.51689179</v>
      </c>
      <c r="K46" s="7" t="n">
        <f aca="false">E46-G46</f>
        <v>14768178.0114565</v>
      </c>
      <c r="L46" s="7" t="n">
        <f aca="false">J46/D46</f>
        <v>409290.143968533</v>
      </c>
      <c r="M46" s="7" t="n">
        <f aca="false">F46/D46</f>
        <v>46787.8710471197</v>
      </c>
      <c r="N46" s="7" t="n">
        <f aca="false">G46/D46</f>
        <v>362502.272921413</v>
      </c>
      <c r="O46" s="7" t="n">
        <f aca="false">I46/D46</f>
        <v>0</v>
      </c>
      <c r="P46" s="7" t="n">
        <f aca="false">E46*(1/D45-1/D46)</f>
        <v>106240.999137395</v>
      </c>
    </row>
    <row r="47" customFormat="false" ht="14.25" hidden="false" customHeight="false" outlineLevel="0" collapsed="false">
      <c r="A47" s="5" t="n">
        <v>37</v>
      </c>
      <c r="B47" s="5" t="n">
        <f aca="false">ROUNDUP(A47/12,0)</f>
        <v>4</v>
      </c>
      <c r="C47" s="20" t="n">
        <f aca="false">IF(A47=1,Supuestos!$B$18,IF(A47=2,Supuestos!$B$19,IF(A47=3,Supuestos!$B$20,IF(A47&lt;=15,(1+Supuestos!$B$21)^(1/12)-1,IF(A47&lt;=27,(1+Supuestos!$B$22)^(1/12)-1,(1+Supuestos!$B$23)^(1/12)-1)))))</f>
        <v>0.0110527242176297</v>
      </c>
      <c r="D47" s="19" t="n">
        <f aca="false">D46*(1+C47)</f>
        <v>1.61425881713685</v>
      </c>
      <c r="E47" s="7" t="n">
        <f aca="false">K46</f>
        <v>14768178.0114565</v>
      </c>
      <c r="F47" s="7" t="n">
        <f aca="false">E47*$E$4</f>
        <v>71884.8532287517</v>
      </c>
      <c r="G47" s="7" t="n">
        <f aca="false">H47-F47</f>
        <v>581592.663663038</v>
      </c>
      <c r="H47" s="7" t="n">
        <f aca="false">$E$5</f>
        <v>653477.51689179</v>
      </c>
      <c r="I47" s="7" t="n">
        <f aca="false">MAX(0,MIN(H47,$E$7-H47*(Supuestos!$B$14-A47)))</f>
        <v>0</v>
      </c>
      <c r="J47" s="7" t="n">
        <f aca="false">H47-I47</f>
        <v>653477.51689179</v>
      </c>
      <c r="K47" s="7" t="n">
        <f aca="false">E47-G47</f>
        <v>14186585.3477934</v>
      </c>
      <c r="L47" s="7" t="n">
        <f aca="false">J47/D47</f>
        <v>404815.826281709</v>
      </c>
      <c r="M47" s="7" t="n">
        <f aca="false">F47/D47</f>
        <v>44531.1820295651</v>
      </c>
      <c r="N47" s="7" t="n">
        <f aca="false">G47/D47</f>
        <v>360284.644252144</v>
      </c>
      <c r="O47" s="7" t="n">
        <f aca="false">I47/D47</f>
        <v>0</v>
      </c>
      <c r="P47" s="7" t="n">
        <f aca="false">E47*(1/D46-1/D47)</f>
        <v>101116.745979437</v>
      </c>
    </row>
    <row r="48" customFormat="false" ht="14.25" hidden="false" customHeight="false" outlineLevel="0" collapsed="false">
      <c r="A48" s="5" t="n">
        <v>38</v>
      </c>
      <c r="B48" s="5" t="n">
        <f aca="false">ROUNDUP(A48/12,0)</f>
        <v>4</v>
      </c>
      <c r="C48" s="20" t="n">
        <f aca="false">IF(A48=1,Supuestos!$B$18,IF(A48=2,Supuestos!$B$19,IF(A48=3,Supuestos!$B$20,IF(A48&lt;=15,(1+Supuestos!$B$21)^(1/12)-1,IF(A48&lt;=27,(1+Supuestos!$B$22)^(1/12)-1,(1+Supuestos!$B$23)^(1/12)-1)))))</f>
        <v>0.0110527242176297</v>
      </c>
      <c r="D48" s="19" t="n">
        <f aca="false">D47*(1+C48)</f>
        <v>1.63210077465854</v>
      </c>
      <c r="E48" s="7" t="n">
        <f aca="false">K47</f>
        <v>14186585.3477934</v>
      </c>
      <c r="F48" s="7" t="n">
        <f aca="false">E48*$E$4</f>
        <v>69053.9215299393</v>
      </c>
      <c r="G48" s="7" t="n">
        <f aca="false">H48-F48</f>
        <v>584423.59536185</v>
      </c>
      <c r="H48" s="7" t="n">
        <f aca="false">$E$5</f>
        <v>653477.51689179</v>
      </c>
      <c r="I48" s="7" t="n">
        <f aca="false">MAX(0,MIN(H48,$E$7-H48*(Supuestos!$B$14-A48)))</f>
        <v>0</v>
      </c>
      <c r="J48" s="7" t="n">
        <f aca="false">H48-I48</f>
        <v>653477.51689179</v>
      </c>
      <c r="K48" s="7" t="n">
        <f aca="false">E48-G48</f>
        <v>13602161.7524316</v>
      </c>
      <c r="L48" s="7" t="n">
        <f aca="false">J48/D48</f>
        <v>400390.421374872</v>
      </c>
      <c r="M48" s="7" t="n">
        <f aca="false">F48/D48</f>
        <v>42309.8393200544</v>
      </c>
      <c r="N48" s="7" t="n">
        <f aca="false">G48/D48</f>
        <v>358080.582054818</v>
      </c>
      <c r="O48" s="7" t="n">
        <f aca="false">I48/D48</f>
        <v>0</v>
      </c>
      <c r="P48" s="7" t="n">
        <f aca="false">E48*(1/D47-1/D48)</f>
        <v>96072.7535172155</v>
      </c>
    </row>
    <row r="49" customFormat="false" ht="14.25" hidden="false" customHeight="false" outlineLevel="0" collapsed="false">
      <c r="A49" s="5" t="n">
        <v>39</v>
      </c>
      <c r="B49" s="5" t="n">
        <f aca="false">ROUNDUP(A49/12,0)</f>
        <v>4</v>
      </c>
      <c r="C49" s="20" t="n">
        <f aca="false">IF(A49=1,Supuestos!$B$18,IF(A49=2,Supuestos!$B$19,IF(A49=3,Supuestos!$B$20,IF(A49&lt;=15,(1+Supuestos!$B$21)^(1/12)-1,IF(A49&lt;=27,(1+Supuestos!$B$22)^(1/12)-1,(1+Supuestos!$B$23)^(1/12)-1)))))</f>
        <v>0.0110527242176297</v>
      </c>
      <c r="D49" s="19" t="n">
        <f aca="false">D48*(1+C49)</f>
        <v>1.65013993441623</v>
      </c>
      <c r="E49" s="7" t="n">
        <f aca="false">K48</f>
        <v>13602161.7524316</v>
      </c>
      <c r="F49" s="7" t="n">
        <f aca="false">E49*$E$4</f>
        <v>66209.2101279359</v>
      </c>
      <c r="G49" s="7" t="n">
        <f aca="false">H49-F49</f>
        <v>587268.306763854</v>
      </c>
      <c r="H49" s="7" t="n">
        <f aca="false">$E$5</f>
        <v>653477.51689179</v>
      </c>
      <c r="I49" s="7" t="n">
        <f aca="false">MAX(0,MIN(H49,$E$7-H49*(Supuestos!$B$14-A49)))</f>
        <v>0</v>
      </c>
      <c r="J49" s="7" t="n">
        <f aca="false">H49-I49</f>
        <v>653477.51689179</v>
      </c>
      <c r="K49" s="7" t="n">
        <f aca="false">E49-G49</f>
        <v>13014893.4456677</v>
      </c>
      <c r="L49" s="7" t="n">
        <f aca="false">J49/D49</f>
        <v>396013.39453855</v>
      </c>
      <c r="M49" s="7" t="n">
        <f aca="false">F49/D49</f>
        <v>40123.3912027945</v>
      </c>
      <c r="N49" s="7" t="n">
        <f aca="false">G49/D49</f>
        <v>355890.003335756</v>
      </c>
      <c r="O49" s="7" t="n">
        <f aca="false">I49/D49</f>
        <v>0</v>
      </c>
      <c r="P49" s="7" t="n">
        <f aca="false">E49*(1/D48-1/D49)</f>
        <v>91107.9960418043</v>
      </c>
    </row>
    <row r="50" customFormat="false" ht="14.25" hidden="false" customHeight="false" outlineLevel="0" collapsed="false">
      <c r="A50" s="5" t="n">
        <v>40</v>
      </c>
      <c r="B50" s="5" t="n">
        <f aca="false">ROUNDUP(A50/12,0)</f>
        <v>4</v>
      </c>
      <c r="C50" s="20" t="n">
        <f aca="false">IF(A50=1,Supuestos!$B$18,IF(A50=2,Supuestos!$B$19,IF(A50=3,Supuestos!$B$20,IF(A50&lt;=15,(1+Supuestos!$B$21)^(1/12)-1,IF(A50&lt;=27,(1+Supuestos!$B$22)^(1/12)-1,(1+Supuestos!$B$23)^(1/12)-1)))))</f>
        <v>0.0110527242176297</v>
      </c>
      <c r="D50" s="19" t="n">
        <f aca="false">D49*(1+C50)</f>
        <v>1.66837847603183</v>
      </c>
      <c r="E50" s="7" t="n">
        <f aca="false">K49</f>
        <v>13014893.4456677</v>
      </c>
      <c r="F50" s="7" t="n">
        <f aca="false">E50*$E$4</f>
        <v>63350.6519493394</v>
      </c>
      <c r="G50" s="7" t="n">
        <f aca="false">H50-F50</f>
        <v>590126.86494245</v>
      </c>
      <c r="H50" s="7" t="n">
        <f aca="false">$E$5</f>
        <v>653477.51689179</v>
      </c>
      <c r="I50" s="7" t="n">
        <f aca="false">MAX(0,MIN(H50,$E$7-H50*(Supuestos!$B$14-A50)))</f>
        <v>0</v>
      </c>
      <c r="J50" s="7" t="n">
        <f aca="false">H50-I50</f>
        <v>653477.51689179</v>
      </c>
      <c r="K50" s="7" t="n">
        <f aca="false">E50-G50</f>
        <v>12424766.5807253</v>
      </c>
      <c r="L50" s="7" t="n">
        <f aca="false">J50/D50</f>
        <v>391684.21690866</v>
      </c>
      <c r="M50" s="7" t="n">
        <f aca="false">F50/D50</f>
        <v>37971.3912996628</v>
      </c>
      <c r="N50" s="7" t="n">
        <f aca="false">G50/D50</f>
        <v>353712.825608998</v>
      </c>
      <c r="O50" s="7" t="n">
        <f aca="false">I50/D50</f>
        <v>0</v>
      </c>
      <c r="P50" s="7" t="n">
        <f aca="false">E50*(1/D49-1/D50)</f>
        <v>86221.4599644947</v>
      </c>
    </row>
    <row r="51" customFormat="false" ht="14.25" hidden="false" customHeight="false" outlineLevel="0" collapsed="false">
      <c r="A51" s="5" t="n">
        <v>41</v>
      </c>
      <c r="B51" s="5" t="n">
        <f aca="false">ROUNDUP(A51/12,0)</f>
        <v>4</v>
      </c>
      <c r="C51" s="20" t="n">
        <f aca="false">IF(A51=1,Supuestos!$B$18,IF(A51=2,Supuestos!$B$19,IF(A51=3,Supuestos!$B$20,IF(A51&lt;=15,(1+Supuestos!$B$21)^(1/12)-1,IF(A51&lt;=27,(1+Supuestos!$B$22)^(1/12)-1,(1+Supuestos!$B$23)^(1/12)-1)))))</f>
        <v>0.0110527242176297</v>
      </c>
      <c r="D51" s="19" t="n">
        <f aca="false">D50*(1+C51)</f>
        <v>1.68681860321803</v>
      </c>
      <c r="E51" s="7" t="n">
        <f aca="false">K50</f>
        <v>12424766.5807253</v>
      </c>
      <c r="F51" s="7" t="n">
        <f aca="false">E51*$E$4</f>
        <v>60478.1795942647</v>
      </c>
      <c r="G51" s="7" t="n">
        <f aca="false">H51-F51</f>
        <v>592999.337297525</v>
      </c>
      <c r="H51" s="7" t="n">
        <f aca="false">$E$5</f>
        <v>653477.51689179</v>
      </c>
      <c r="I51" s="7" t="n">
        <f aca="false">MAX(0,MIN(H51,$E$7-H51*(Supuestos!$B$14-A51)))</f>
        <v>0</v>
      </c>
      <c r="J51" s="7" t="n">
        <f aca="false">H51-I51</f>
        <v>653477.51689179</v>
      </c>
      <c r="K51" s="7" t="n">
        <f aca="false">E51-G51</f>
        <v>11831767.2434277</v>
      </c>
      <c r="L51" s="7" t="n">
        <f aca="false">J51/D51</f>
        <v>387402.365402608</v>
      </c>
      <c r="M51" s="7" t="n">
        <f aca="false">F51/D51</f>
        <v>35853.3985094113</v>
      </c>
      <c r="N51" s="7" t="n">
        <f aca="false">G51/D51</f>
        <v>351548.966893197</v>
      </c>
      <c r="O51" s="7" t="n">
        <f aca="false">I51/D51</f>
        <v>0</v>
      </c>
      <c r="P51" s="7" t="n">
        <f aca="false">E51*(1/D50-1/D51)</f>
        <v>81412.1436787522</v>
      </c>
    </row>
    <row r="52" customFormat="false" ht="14.25" hidden="false" customHeight="false" outlineLevel="0" collapsed="false">
      <c r="A52" s="5" t="n">
        <v>42</v>
      </c>
      <c r="B52" s="5" t="n">
        <f aca="false">ROUNDUP(A52/12,0)</f>
        <v>4</v>
      </c>
      <c r="C52" s="20" t="n">
        <f aca="false">IF(A52=1,Supuestos!$B$18,IF(A52=2,Supuestos!$B$19,IF(A52=3,Supuestos!$B$20,IF(A52&lt;=15,(1+Supuestos!$B$21)^(1/12)-1,IF(A52&lt;=27,(1+Supuestos!$B$22)^(1/12)-1,(1+Supuestos!$B$23)^(1/12)-1)))))</f>
        <v>0.0110527242176297</v>
      </c>
      <c r="D52" s="19" t="n">
        <f aca="false">D51*(1+C52)</f>
        <v>1.70546254404457</v>
      </c>
      <c r="E52" s="7" t="n">
        <f aca="false">K51</f>
        <v>11831767.2434277</v>
      </c>
      <c r="F52" s="7" t="n">
        <f aca="false">E52*$E$4</f>
        <v>57591.7253347541</v>
      </c>
      <c r="G52" s="7" t="n">
        <f aca="false">H52-F52</f>
        <v>595885.791557036</v>
      </c>
      <c r="H52" s="7" t="n">
        <f aca="false">$E$5</f>
        <v>653477.51689179</v>
      </c>
      <c r="I52" s="7" t="n">
        <f aca="false">MAX(0,MIN(H52,$E$7-H52*(Supuestos!$B$14-A52)))</f>
        <v>0</v>
      </c>
      <c r="J52" s="7" t="n">
        <f aca="false">H52-I52</f>
        <v>653477.51689179</v>
      </c>
      <c r="K52" s="7" t="n">
        <f aca="false">E52-G52</f>
        <v>11235881.4518707</v>
      </c>
      <c r="L52" s="7" t="n">
        <f aca="false">J52/D52</f>
        <v>383167.322656083</v>
      </c>
      <c r="M52" s="7" t="n">
        <f aca="false">F52/D52</f>
        <v>33768.9769475518</v>
      </c>
      <c r="N52" s="7" t="n">
        <f aca="false">G52/D52</f>
        <v>349398.345708531</v>
      </c>
      <c r="O52" s="7" t="n">
        <f aca="false">I52/D52</f>
        <v>0</v>
      </c>
      <c r="P52" s="7" t="n">
        <f aca="false">E52*(1/D51-1/D52)</f>
        <v>76679.0574237167</v>
      </c>
    </row>
    <row r="53" customFormat="false" ht="14.25" hidden="false" customHeight="false" outlineLevel="0" collapsed="false">
      <c r="A53" s="5" t="n">
        <v>43</v>
      </c>
      <c r="B53" s="5" t="n">
        <f aca="false">ROUNDUP(A53/12,0)</f>
        <v>4</v>
      </c>
      <c r="C53" s="20" t="n">
        <f aca="false">IF(A53=1,Supuestos!$B$18,IF(A53=2,Supuestos!$B$19,IF(A53=3,Supuestos!$B$20,IF(A53&lt;=15,(1+Supuestos!$B$21)^(1/12)-1,IF(A53&lt;=27,(1+Supuestos!$B$22)^(1/12)-1,(1+Supuestos!$B$23)^(1/12)-1)))))</f>
        <v>0.0110527242176297</v>
      </c>
      <c r="D53" s="19" t="n">
        <f aca="false">D52*(1+C53)</f>
        <v>1.72431255120739</v>
      </c>
      <c r="E53" s="7" t="n">
        <f aca="false">K52</f>
        <v>11235881.4518707</v>
      </c>
      <c r="F53" s="7" t="n">
        <f aca="false">E53*$E$4</f>
        <v>54691.2211131807</v>
      </c>
      <c r="G53" s="7" t="n">
        <f aca="false">H53-F53</f>
        <v>598786.295778609</v>
      </c>
      <c r="H53" s="7" t="n">
        <f aca="false">$E$5</f>
        <v>653477.51689179</v>
      </c>
      <c r="I53" s="7" t="n">
        <f aca="false">MAX(0,MIN(H53,$E$7-H53*(Supuestos!$B$14-A53)))</f>
        <v>0</v>
      </c>
      <c r="J53" s="7" t="n">
        <f aca="false">H53-I53</f>
        <v>653477.51689179</v>
      </c>
      <c r="K53" s="7" t="n">
        <f aca="false">E53-G53</f>
        <v>10637095.1560921</v>
      </c>
      <c r="L53" s="7" t="n">
        <f aca="false">J53/D53</f>
        <v>378978.576960548</v>
      </c>
      <c r="M53" s="7" t="n">
        <f aca="false">F53/D53</f>
        <v>31717.6958869116</v>
      </c>
      <c r="N53" s="7" t="n">
        <f aca="false">G53/D53</f>
        <v>347260.881073636</v>
      </c>
      <c r="O53" s="7" t="n">
        <f aca="false">I53/D53</f>
        <v>0</v>
      </c>
      <c r="P53" s="7" t="n">
        <f aca="false">E53*(1/D52-1/D53)</f>
        <v>72021.2231492191</v>
      </c>
    </row>
    <row r="54" customFormat="false" ht="14.25" hidden="false" customHeight="false" outlineLevel="0" collapsed="false">
      <c r="A54" s="5" t="n">
        <v>44</v>
      </c>
      <c r="B54" s="5" t="n">
        <f aca="false">ROUNDUP(A54/12,0)</f>
        <v>4</v>
      </c>
      <c r="C54" s="20" t="n">
        <f aca="false">IF(A54=1,Supuestos!$B$18,IF(A54=2,Supuestos!$B$19,IF(A54=3,Supuestos!$B$20,IF(A54&lt;=15,(1+Supuestos!$B$21)^(1/12)-1,IF(A54&lt;=27,(1+Supuestos!$B$22)^(1/12)-1,(1+Supuestos!$B$23)^(1/12)-1)))))</f>
        <v>0.0110527242176297</v>
      </c>
      <c r="D54" s="19" t="n">
        <f aca="false">D53*(1+C54)</f>
        <v>1.74337090230089</v>
      </c>
      <c r="E54" s="7" t="n">
        <f aca="false">K53</f>
        <v>10637095.1560921</v>
      </c>
      <c r="F54" s="7" t="n">
        <f aca="false">E54*$E$4</f>
        <v>51776.5985406439</v>
      </c>
      <c r="G54" s="7" t="n">
        <f aca="false">H54-F54</f>
        <v>601700.918351146</v>
      </c>
      <c r="H54" s="7" t="n">
        <f aca="false">$E$5</f>
        <v>653477.51689179</v>
      </c>
      <c r="I54" s="7" t="n">
        <f aca="false">MAX(0,MIN(H54,$E$7-H54*(Supuestos!$B$14-A54)))</f>
        <v>0</v>
      </c>
      <c r="J54" s="7" t="n">
        <f aca="false">H54-I54</f>
        <v>653477.51689179</v>
      </c>
      <c r="K54" s="7" t="n">
        <f aca="false">E54-G54</f>
        <v>10035394.237741</v>
      </c>
      <c r="L54" s="7" t="n">
        <f aca="false">J54/D54</f>
        <v>374835.622201412</v>
      </c>
      <c r="M54" s="7" t="n">
        <f aca="false">F54/D54</f>
        <v>29699.129698855</v>
      </c>
      <c r="N54" s="7" t="n">
        <f aca="false">G54/D54</f>
        <v>345136.492502557</v>
      </c>
      <c r="O54" s="7" t="n">
        <f aca="false">I54/D54</f>
        <v>0</v>
      </c>
      <c r="P54" s="7" t="n">
        <f aca="false">E54*(1/D53-1/D54)</f>
        <v>67437.6743823151</v>
      </c>
    </row>
    <row r="55" customFormat="false" ht="14.25" hidden="false" customHeight="false" outlineLevel="0" collapsed="false">
      <c r="A55" s="5" t="n">
        <v>45</v>
      </c>
      <c r="B55" s="5" t="n">
        <f aca="false">ROUNDUP(A55/12,0)</f>
        <v>4</v>
      </c>
      <c r="C55" s="20" t="n">
        <f aca="false">IF(A55=1,Supuestos!$B$18,IF(A55=2,Supuestos!$B$19,IF(A55=3,Supuestos!$B$20,IF(A55&lt;=15,(1+Supuestos!$B$21)^(1/12)-1,IF(A55&lt;=27,(1+Supuestos!$B$22)^(1/12)-1,(1+Supuestos!$B$23)^(1/12)-1)))))</f>
        <v>0.0110527242176297</v>
      </c>
      <c r="D55" s="19" t="n">
        <f aca="false">D54*(1+C55)</f>
        <v>1.76263990009306</v>
      </c>
      <c r="E55" s="7" t="n">
        <f aca="false">K54</f>
        <v>10035394.237741</v>
      </c>
      <c r="F55" s="7" t="n">
        <f aca="false">E55*$E$4</f>
        <v>48847.7888953563</v>
      </c>
      <c r="G55" s="7" t="n">
        <f aca="false">H55-F55</f>
        <v>604629.727996433</v>
      </c>
      <c r="H55" s="7" t="n">
        <f aca="false">$E$5</f>
        <v>653477.51689179</v>
      </c>
      <c r="I55" s="7" t="n">
        <f aca="false">MAX(0,MIN(H55,$E$7-H55*(Supuestos!$B$14-A55)))</f>
        <v>0</v>
      </c>
      <c r="J55" s="7" t="n">
        <f aca="false">H55-I55</f>
        <v>653477.51689179</v>
      </c>
      <c r="K55" s="7" t="n">
        <f aca="false">E55-G55</f>
        <v>9430764.50974452</v>
      </c>
      <c r="L55" s="7" t="n">
        <f aca="false">J55/D55</f>
        <v>370737.957796876</v>
      </c>
      <c r="M55" s="7" t="n">
        <f aca="false">F55/D55</f>
        <v>27712.8577951614</v>
      </c>
      <c r="N55" s="7" t="n">
        <f aca="false">G55/D55</f>
        <v>343025.100001715</v>
      </c>
      <c r="O55" s="7" t="n">
        <f aca="false">I55/D55</f>
        <v>0</v>
      </c>
      <c r="P55" s="7" t="n">
        <f aca="false">E55*(1/D54-1/D55)</f>
        <v>62927.4560953063</v>
      </c>
    </row>
    <row r="56" customFormat="false" ht="14.25" hidden="false" customHeight="false" outlineLevel="0" collapsed="false">
      <c r="A56" s="5" t="n">
        <v>46</v>
      </c>
      <c r="B56" s="5" t="n">
        <f aca="false">ROUNDUP(A56/12,0)</f>
        <v>4</v>
      </c>
      <c r="C56" s="20" t="n">
        <f aca="false">IF(A56=1,Supuestos!$B$18,IF(A56=2,Supuestos!$B$19,IF(A56=3,Supuestos!$B$20,IF(A56&lt;=15,(1+Supuestos!$B$21)^(1/12)-1,IF(A56&lt;=27,(1+Supuestos!$B$22)^(1/12)-1,(1+Supuestos!$B$23)^(1/12)-1)))))</f>
        <v>0.0110527242176297</v>
      </c>
      <c r="D56" s="19" t="n">
        <f aca="false">D55*(1+C56)</f>
        <v>1.78212187280378</v>
      </c>
      <c r="E56" s="7" t="n">
        <f aca="false">K55</f>
        <v>9430764.50974452</v>
      </c>
      <c r="F56" s="7" t="n">
        <f aca="false">E56*$E$4</f>
        <v>45904.7231210241</v>
      </c>
      <c r="G56" s="7" t="n">
        <f aca="false">H56-F56</f>
        <v>607572.793770766</v>
      </c>
      <c r="H56" s="7" t="n">
        <f aca="false">$E$5</f>
        <v>653477.51689179</v>
      </c>
      <c r="I56" s="7" t="n">
        <f aca="false">MAX(0,MIN(H56,$E$7-H56*(Supuestos!$B$14-A56)))</f>
        <v>0</v>
      </c>
      <c r="J56" s="7" t="n">
        <f aca="false">H56-I56</f>
        <v>653477.51689179</v>
      </c>
      <c r="K56" s="7" t="n">
        <f aca="false">E56-G56</f>
        <v>8823191.71597375</v>
      </c>
      <c r="L56" s="7" t="n">
        <f aca="false">J56/D56</f>
        <v>366685.088637449</v>
      </c>
      <c r="M56" s="7" t="n">
        <f aca="false">F56/D56</f>
        <v>25758.4645705533</v>
      </c>
      <c r="N56" s="7" t="n">
        <f aca="false">G56/D56</f>
        <v>340926.624066896</v>
      </c>
      <c r="O56" s="7" t="n">
        <f aca="false">I56/D56</f>
        <v>0</v>
      </c>
      <c r="P56" s="7" t="n">
        <f aca="false">E56*(1/D55-1/D56)</f>
        <v>58489.6245752388</v>
      </c>
    </row>
    <row r="57" customFormat="false" ht="14.25" hidden="false" customHeight="false" outlineLevel="0" collapsed="false">
      <c r="A57" s="5" t="n">
        <v>47</v>
      </c>
      <c r="B57" s="5" t="n">
        <f aca="false">ROUNDUP(A57/12,0)</f>
        <v>4</v>
      </c>
      <c r="C57" s="20" t="n">
        <f aca="false">IF(A57=1,Supuestos!$B$18,IF(A57=2,Supuestos!$B$19,IF(A57=3,Supuestos!$B$20,IF(A57&lt;=15,(1+Supuestos!$B$21)^(1/12)-1,IF(A57&lt;=27,(1+Supuestos!$B$22)^(1/12)-1,(1+Supuestos!$B$23)^(1/12)-1)))))</f>
        <v>0.0110527242176297</v>
      </c>
      <c r="D57" s="19" t="n">
        <f aca="false">D56*(1+C57)</f>
        <v>1.80181917438608</v>
      </c>
      <c r="E57" s="7" t="n">
        <f aca="false">K56</f>
        <v>8823191.71597375</v>
      </c>
      <c r="F57" s="7" t="n">
        <f aca="false">E57*$E$4</f>
        <v>42947.3318252181</v>
      </c>
      <c r="G57" s="7" t="n">
        <f aca="false">H57-F57</f>
        <v>610530.185066572</v>
      </c>
      <c r="H57" s="7" t="n">
        <f aca="false">$E$5</f>
        <v>653477.51689179</v>
      </c>
      <c r="I57" s="7" t="n">
        <f aca="false">MAX(0,MIN(H57,$E$7-H57*(Supuestos!$B$14-A57)))</f>
        <v>0</v>
      </c>
      <c r="J57" s="7" t="n">
        <f aca="false">H57-I57</f>
        <v>653477.51689179</v>
      </c>
      <c r="K57" s="7" t="n">
        <f aca="false">E57-G57</f>
        <v>8212661.53090718</v>
      </c>
      <c r="L57" s="7" t="n">
        <f aca="false">J57/D57</f>
        <v>362676.525026127</v>
      </c>
      <c r="M57" s="7" t="n">
        <f aca="false">F57/D57</f>
        <v>23835.5393458676</v>
      </c>
      <c r="N57" s="7" t="n">
        <f aca="false">G57/D57</f>
        <v>338840.98568026</v>
      </c>
      <c r="O57" s="7" t="n">
        <f aca="false">I57/D57</f>
        <v>0</v>
      </c>
      <c r="P57" s="7" t="n">
        <f aca="false">E57*(1/D56-1/D57)</f>
        <v>54123.247294868</v>
      </c>
    </row>
    <row r="58" customFormat="false" ht="14.25" hidden="false" customHeight="false" outlineLevel="0" collapsed="false">
      <c r="A58" s="5" t="n">
        <v>48</v>
      </c>
      <c r="B58" s="5" t="n">
        <f aca="false">ROUNDUP(A58/12,0)</f>
        <v>4</v>
      </c>
      <c r="C58" s="20" t="n">
        <f aca="false">IF(A58=1,Supuestos!$B$18,IF(A58=2,Supuestos!$B$19,IF(A58=3,Supuestos!$B$20,IF(A58&lt;=15,(1+Supuestos!$B$21)^(1/12)-1,IF(A58&lt;=27,(1+Supuestos!$B$22)^(1/12)-1,(1+Supuestos!$B$23)^(1/12)-1)))))</f>
        <v>0.0110527242176297</v>
      </c>
      <c r="D58" s="19" t="n">
        <f aca="false">D57*(1+C58)</f>
        <v>1.82173418481061</v>
      </c>
      <c r="E58" s="7" t="n">
        <f aca="false">K57</f>
        <v>8212661.53090718</v>
      </c>
      <c r="F58" s="7" t="n">
        <f aca="false">E58*$E$4</f>
        <v>39975.5452777384</v>
      </c>
      <c r="G58" s="7" t="n">
        <f aca="false">H58-F58</f>
        <v>613501.971614051</v>
      </c>
      <c r="H58" s="7" t="n">
        <f aca="false">$E$5</f>
        <v>653477.51689179</v>
      </c>
      <c r="I58" s="7" t="n">
        <f aca="false">MAX(0,MIN(H58,$E$7-H58*(Supuestos!$B$14-A58)))</f>
        <v>0</v>
      </c>
      <c r="J58" s="7" t="n">
        <f aca="false">H58-I58</f>
        <v>653477.51689179</v>
      </c>
      <c r="K58" s="7" t="n">
        <f aca="false">E58-G58</f>
        <v>7599159.55929313</v>
      </c>
      <c r="L58" s="7" t="n">
        <f aca="false">J58/D58</f>
        <v>358711.782619223</v>
      </c>
      <c r="M58" s="7" t="n">
        <f aca="false">F58/D58</f>
        <v>21943.6763118623</v>
      </c>
      <c r="N58" s="7" t="n">
        <f aca="false">G58/D58</f>
        <v>336768.10630736</v>
      </c>
      <c r="O58" s="7" t="n">
        <f aca="false">I58/D58</f>
        <v>0</v>
      </c>
      <c r="P58" s="7" t="n">
        <f aca="false">E58*(1/D57-1/D58)</f>
        <v>49827.4027850512</v>
      </c>
    </row>
    <row r="59" customFormat="false" ht="14.25" hidden="false" customHeight="false" outlineLevel="0" collapsed="false">
      <c r="A59" s="5" t="n">
        <v>49</v>
      </c>
      <c r="B59" s="5" t="n">
        <f aca="false">ROUNDUP(A59/12,0)</f>
        <v>5</v>
      </c>
      <c r="C59" s="20" t="n">
        <f aca="false">IF(A59=1,Supuestos!$B$18,IF(A59=2,Supuestos!$B$19,IF(A59=3,Supuestos!$B$20,IF(A59&lt;=15,(1+Supuestos!$B$21)^(1/12)-1,IF(A59&lt;=27,(1+Supuestos!$B$22)^(1/12)-1,(1+Supuestos!$B$23)^(1/12)-1)))))</f>
        <v>0.0110527242176297</v>
      </c>
      <c r="D59" s="19" t="n">
        <f aca="false">D58*(1+C59)</f>
        <v>1.84186931035315</v>
      </c>
      <c r="E59" s="7" t="n">
        <f aca="false">K58</f>
        <v>7599159.55929313</v>
      </c>
      <c r="F59" s="7" t="n">
        <f aca="false">E59*$E$4</f>
        <v>36989.2934089693</v>
      </c>
      <c r="G59" s="7" t="n">
        <f aca="false">H59-F59</f>
        <v>616488.22348282</v>
      </c>
      <c r="H59" s="7" t="n">
        <f aca="false">$E$5</f>
        <v>653477.51689179</v>
      </c>
      <c r="I59" s="7" t="n">
        <f aca="false">MAX(0,MIN(H59,$E$7-H59*(Supuestos!$B$14-A59)))</f>
        <v>0</v>
      </c>
      <c r="J59" s="7" t="n">
        <f aca="false">H59-I59</f>
        <v>653477.51689179</v>
      </c>
      <c r="K59" s="7" t="n">
        <f aca="false">E59-G59</f>
        <v>6982671.33581031</v>
      </c>
      <c r="L59" s="7" t="n">
        <f aca="false">J59/D59</f>
        <v>354790.382367843</v>
      </c>
      <c r="M59" s="7" t="n">
        <f aca="false">F59/D59</f>
        <v>20082.4744736516</v>
      </c>
      <c r="N59" s="7" t="n">
        <f aca="false">G59/D59</f>
        <v>334707.907894192</v>
      </c>
      <c r="O59" s="7" t="n">
        <f aca="false">I59/D59</f>
        <v>0</v>
      </c>
      <c r="P59" s="7" t="n">
        <f aca="false">E59*(1/D58-1/D59)</f>
        <v>45601.180508582</v>
      </c>
    </row>
    <row r="60" customFormat="false" ht="14.25" hidden="false" customHeight="false" outlineLevel="0" collapsed="false">
      <c r="A60" s="5" t="n">
        <v>50</v>
      </c>
      <c r="B60" s="5" t="n">
        <f aca="false">ROUNDUP(A60/12,0)</f>
        <v>5</v>
      </c>
      <c r="C60" s="20" t="n">
        <f aca="false">IF(A60=1,Supuestos!$B$18,IF(A60=2,Supuestos!$B$19,IF(A60=3,Supuestos!$B$20,IF(A60&lt;=15,(1+Supuestos!$B$21)^(1/12)-1,IF(A60&lt;=27,(1+Supuestos!$B$22)^(1/12)-1,(1+Supuestos!$B$23)^(1/12)-1)))))</f>
        <v>0.0110527242176297</v>
      </c>
      <c r="D60" s="19" t="n">
        <f aca="false">D59*(1+C60)</f>
        <v>1.8622269838854</v>
      </c>
      <c r="E60" s="7" t="n">
        <f aca="false">K59</f>
        <v>6982671.33581031</v>
      </c>
      <c r="F60" s="7" t="n">
        <f aca="false">E60*$E$4</f>
        <v>33988.5058082282</v>
      </c>
      <c r="G60" s="7" t="n">
        <f aca="false">H60-F60</f>
        <v>619489.011083562</v>
      </c>
      <c r="H60" s="7" t="n">
        <f aca="false">$E$5</f>
        <v>653477.51689179</v>
      </c>
      <c r="I60" s="7" t="n">
        <f aca="false">MAX(0,MIN(H60,$E$7-H60*(Supuestos!$B$14-A60)))</f>
        <v>0</v>
      </c>
      <c r="J60" s="7" t="n">
        <f aca="false">H60-I60</f>
        <v>653477.51689179</v>
      </c>
      <c r="K60" s="7" t="n">
        <f aca="false">E60-G60</f>
        <v>6363182.32472675</v>
      </c>
      <c r="L60" s="7" t="n">
        <f aca="false">J60/D60</f>
        <v>350911.850460011</v>
      </c>
      <c r="M60" s="7" t="n">
        <f aca="false">F60/D60</f>
        <v>18251.5375957627</v>
      </c>
      <c r="N60" s="7" t="n">
        <f aca="false">G60/D60</f>
        <v>332660.312864248</v>
      </c>
      <c r="O60" s="7" t="n">
        <f aca="false">I60/D60</f>
        <v>0</v>
      </c>
      <c r="P60" s="7" t="n">
        <f aca="false">E60*(1/D59-1/D60)</f>
        <v>41443.680735436</v>
      </c>
    </row>
    <row r="61" customFormat="false" ht="14.25" hidden="false" customHeight="false" outlineLevel="0" collapsed="false">
      <c r="A61" s="5" t="n">
        <v>51</v>
      </c>
      <c r="B61" s="5" t="n">
        <f aca="false">ROUNDUP(A61/12,0)</f>
        <v>5</v>
      </c>
      <c r="C61" s="20" t="n">
        <f aca="false">IF(A61=1,Supuestos!$B$18,IF(A61=2,Supuestos!$B$19,IF(A61=3,Supuestos!$B$20,IF(A61&lt;=15,(1+Supuestos!$B$21)^(1/12)-1,IF(A61&lt;=27,(1+Supuestos!$B$22)^(1/12)-1,(1+Supuestos!$B$23)^(1/12)-1)))))</f>
        <v>0.0110527242176297</v>
      </c>
      <c r="D61" s="19" t="n">
        <f aca="false">D60*(1+C61)</f>
        <v>1.88280966516891</v>
      </c>
      <c r="E61" s="7" t="n">
        <f aca="false">K60</f>
        <v>6363182.32472675</v>
      </c>
      <c r="F61" s="7" t="n">
        <f aca="false">E61*$E$4</f>
        <v>30973.1117221046</v>
      </c>
      <c r="G61" s="7" t="n">
        <f aca="false">H61-F61</f>
        <v>622504.405169685</v>
      </c>
      <c r="H61" s="7" t="n">
        <f aca="false">$E$5</f>
        <v>653477.51689179</v>
      </c>
      <c r="I61" s="7" t="n">
        <f aca="false">MAX(0,MIN(H61,$E$7-H61*(Supuestos!$B$14-A61)))</f>
        <v>0</v>
      </c>
      <c r="J61" s="7" t="n">
        <f aca="false">H61-I61</f>
        <v>653477.51689179</v>
      </c>
      <c r="K61" s="7" t="n">
        <f aca="false">E61-G61</f>
        <v>5740677.91955706</v>
      </c>
      <c r="L61" s="7" t="n">
        <f aca="false">J61/D61</f>
        <v>347075.71826341</v>
      </c>
      <c r="M61" s="7" t="n">
        <f aca="false">F61/D61</f>
        <v>16450.4741478082</v>
      </c>
      <c r="N61" s="7" t="n">
        <f aca="false">G61/D61</f>
        <v>330625.244115601</v>
      </c>
      <c r="O61" s="7" t="n">
        <f aca="false">I61/D61</f>
        <v>0</v>
      </c>
      <c r="P61" s="7" t="n">
        <f aca="false">E61*(1/D60-1/D61)</f>
        <v>37354.0144193974</v>
      </c>
    </row>
    <row r="62" customFormat="false" ht="14.25" hidden="false" customHeight="false" outlineLevel="0" collapsed="false">
      <c r="A62" s="5" t="n">
        <v>52</v>
      </c>
      <c r="B62" s="5" t="n">
        <f aca="false">ROUNDUP(A62/12,0)</f>
        <v>5</v>
      </c>
      <c r="C62" s="20" t="n">
        <f aca="false">IF(A62=1,Supuestos!$B$18,IF(A62=2,Supuestos!$B$19,IF(A62=3,Supuestos!$B$20,IF(A62&lt;=15,(1+Supuestos!$B$21)^(1/12)-1,IF(A62&lt;=27,(1+Supuestos!$B$22)^(1/12)-1,(1+Supuestos!$B$23)^(1/12)-1)))))</f>
        <v>0.0110527242176297</v>
      </c>
      <c r="D62" s="19" t="n">
        <f aca="false">D61*(1+C62)</f>
        <v>1.90361984115231</v>
      </c>
      <c r="E62" s="7" t="n">
        <f aca="false">K61</f>
        <v>5740677.91955706</v>
      </c>
      <c r="F62" s="7" t="n">
        <f aca="false">E62*$E$4</f>
        <v>27943.0400527923</v>
      </c>
      <c r="G62" s="7" t="n">
        <f aca="false">H62-F62</f>
        <v>625534.476838997</v>
      </c>
      <c r="H62" s="7" t="n">
        <f aca="false">$E$5</f>
        <v>653477.51689179</v>
      </c>
      <c r="I62" s="7" t="n">
        <f aca="false">MAX(0,MIN(H62,$E$7-H62*(Supuestos!$B$14-A62)))</f>
        <v>0</v>
      </c>
      <c r="J62" s="7" t="n">
        <f aca="false">H62-I62</f>
        <v>653477.51689179</v>
      </c>
      <c r="K62" s="7" t="n">
        <f aca="false">E62-G62</f>
        <v>5115143.44271806</v>
      </c>
      <c r="L62" s="7" t="n">
        <f aca="false">J62/D62</f>
        <v>343281.522268765</v>
      </c>
      <c r="M62" s="7" t="n">
        <f aca="false">F62/D62</f>
        <v>14678.897250765</v>
      </c>
      <c r="N62" s="7" t="n">
        <f aca="false">G62/D62</f>
        <v>328602.625018</v>
      </c>
      <c r="O62" s="7" t="n">
        <f aca="false">I62/D62</f>
        <v>0</v>
      </c>
      <c r="P62" s="7" t="n">
        <f aca="false">E62*(1/D61-1/D62)</f>
        <v>33331.3030760867</v>
      </c>
    </row>
    <row r="63" customFormat="false" ht="14.25" hidden="false" customHeight="false" outlineLevel="0" collapsed="false">
      <c r="A63" s="5" t="n">
        <v>53</v>
      </c>
      <c r="B63" s="5" t="n">
        <f aca="false">ROUNDUP(A63/12,0)</f>
        <v>5</v>
      </c>
      <c r="C63" s="20" t="n">
        <f aca="false">IF(A63=1,Supuestos!$B$18,IF(A63=2,Supuestos!$B$19,IF(A63=3,Supuestos!$B$20,IF(A63&lt;=15,(1+Supuestos!$B$21)^(1/12)-1,IF(A63&lt;=27,(1+Supuestos!$B$22)^(1/12)-1,(1+Supuestos!$B$23)^(1/12)-1)))))</f>
        <v>0.0110527242176297</v>
      </c>
      <c r="D63" s="19" t="n">
        <f aca="false">D62*(1+C63)</f>
        <v>1.92466002627178</v>
      </c>
      <c r="E63" s="7" t="n">
        <f aca="false">K62</f>
        <v>5115143.44271806</v>
      </c>
      <c r="F63" s="7" t="n">
        <f aca="false">E63*$E$4</f>
        <v>24898.2193564131</v>
      </c>
      <c r="G63" s="7" t="n">
        <f aca="false">H63-F63</f>
        <v>628579.297535377</v>
      </c>
      <c r="H63" s="7" t="n">
        <f aca="false">$E$5</f>
        <v>653477.51689179</v>
      </c>
      <c r="I63" s="7" t="n">
        <f aca="false">MAX(0,MIN(H63,$E$7-H63*(Supuestos!$B$14-A63)))</f>
        <v>0</v>
      </c>
      <c r="J63" s="7" t="n">
        <f aca="false">H63-I63</f>
        <v>653477.51689179</v>
      </c>
      <c r="K63" s="7" t="n">
        <f aca="false">E63-G63</f>
        <v>4486564.14518269</v>
      </c>
      <c r="L63" s="7" t="n">
        <f aca="false">J63/D63</f>
        <v>339528.804033837</v>
      </c>
      <c r="M63" s="7" t="n">
        <f aca="false">F63/D63</f>
        <v>12936.4246238558</v>
      </c>
      <c r="N63" s="7" t="n">
        <f aca="false">G63/D63</f>
        <v>326592.379409981</v>
      </c>
      <c r="O63" s="7" t="n">
        <f aca="false">I63/D63</f>
        <v>0</v>
      </c>
      <c r="P63" s="7" t="n">
        <f aca="false">E63*(1/D62-1/D63)</f>
        <v>29374.6786623378</v>
      </c>
    </row>
    <row r="64" customFormat="false" ht="14.25" hidden="false" customHeight="false" outlineLevel="0" collapsed="false">
      <c r="A64" s="5" t="n">
        <v>54</v>
      </c>
      <c r="B64" s="5" t="n">
        <f aca="false">ROUNDUP(A64/12,0)</f>
        <v>5</v>
      </c>
      <c r="C64" s="20" t="n">
        <f aca="false">IF(A64=1,Supuestos!$B$18,IF(A64=2,Supuestos!$B$19,IF(A64=3,Supuestos!$B$20,IF(A64&lt;=15,(1+Supuestos!$B$21)^(1/12)-1,IF(A64&lt;=27,(1+Supuestos!$B$22)^(1/12)-1,(1+Supuestos!$B$23)^(1/12)-1)))))</f>
        <v>0.0110527242176297</v>
      </c>
      <c r="D64" s="19" t="n">
        <f aca="false">D63*(1+C64)</f>
        <v>1.94593276275485</v>
      </c>
      <c r="E64" s="7" t="n">
        <f aca="false">K63</f>
        <v>4486564.14518269</v>
      </c>
      <c r="F64" s="7" t="n">
        <f aca="false">E64*$E$4</f>
        <v>21838.5778413318</v>
      </c>
      <c r="G64" s="7" t="n">
        <f aca="false">H64-F64</f>
        <v>631638.939050458</v>
      </c>
      <c r="H64" s="7" t="n">
        <f aca="false">$E$5</f>
        <v>653477.51689179</v>
      </c>
      <c r="I64" s="7" t="n">
        <f aca="false">MAX(0,MIN(H64,$E$7-H64*(Supuestos!$B$14-A64)))</f>
        <v>0</v>
      </c>
      <c r="J64" s="7" t="n">
        <f aca="false">H64-I64</f>
        <v>653477.51689179</v>
      </c>
      <c r="K64" s="7" t="n">
        <f aca="false">E64-G64</f>
        <v>3854925.20613223</v>
      </c>
      <c r="L64" s="7" t="n">
        <f aca="false">J64/D64</f>
        <v>335817.110128031</v>
      </c>
      <c r="M64" s="7" t="n">
        <f aca="false">F64/D64</f>
        <v>11222.6785320244</v>
      </c>
      <c r="N64" s="7" t="n">
        <f aca="false">G64/D64</f>
        <v>324594.431596006</v>
      </c>
      <c r="O64" s="7" t="n">
        <f aca="false">I64/D64</f>
        <v>0</v>
      </c>
      <c r="P64" s="7" t="n">
        <f aca="false">E64*(1/D63-1/D64)</f>
        <v>25483.2834569302</v>
      </c>
    </row>
    <row r="65" customFormat="false" ht="14.25" hidden="false" customHeight="false" outlineLevel="0" collapsed="false">
      <c r="A65" s="5" t="n">
        <v>55</v>
      </c>
      <c r="B65" s="5" t="n">
        <f aca="false">ROUNDUP(A65/12,0)</f>
        <v>5</v>
      </c>
      <c r="C65" s="20" t="n">
        <f aca="false">IF(A65=1,Supuestos!$B$18,IF(A65=2,Supuestos!$B$19,IF(A65=3,Supuestos!$B$20,IF(A65&lt;=15,(1+Supuestos!$B$21)^(1/12)-1,IF(A65&lt;=27,(1+Supuestos!$B$22)^(1/12)-1,(1+Supuestos!$B$23)^(1/12)-1)))))</f>
        <v>0.0110527242176297</v>
      </c>
      <c r="D65" s="19" t="n">
        <f aca="false">D64*(1+C65)</f>
        <v>1.96744062092763</v>
      </c>
      <c r="E65" s="7" t="n">
        <f aca="false">K64</f>
        <v>3854925.20613223</v>
      </c>
      <c r="F65" s="7" t="n">
        <f aca="false">E65*$E$4</f>
        <v>18764.0433664641</v>
      </c>
      <c r="G65" s="7" t="n">
        <f aca="false">H65-F65</f>
        <v>634713.473525326</v>
      </c>
      <c r="H65" s="7" t="n">
        <f aca="false">$E$5</f>
        <v>653477.51689179</v>
      </c>
      <c r="I65" s="7" t="n">
        <f aca="false">MAX(0,MIN(H65,$E$7-H65*(Supuestos!$B$14-A65)))</f>
        <v>0</v>
      </c>
      <c r="J65" s="7" t="n">
        <f aca="false">H65-I65</f>
        <v>653477.51689179</v>
      </c>
      <c r="K65" s="7" t="n">
        <f aca="false">E65-G65</f>
        <v>3220211.7326069</v>
      </c>
      <c r="L65" s="7" t="n">
        <f aca="false">J65/D65</f>
        <v>332145.992077606</v>
      </c>
      <c r="M65" s="7" t="n">
        <f aca="false">F65/D65</f>
        <v>9537.28573399943</v>
      </c>
      <c r="N65" s="7" t="n">
        <f aca="false">G65/D65</f>
        <v>322608.706343606</v>
      </c>
      <c r="O65" s="7" t="n">
        <f aca="false">I65/D65</f>
        <v>0</v>
      </c>
      <c r="P65" s="7" t="n">
        <f aca="false">E65*(1/D64-1/D65)</f>
        <v>21656.269942663</v>
      </c>
    </row>
    <row r="66" customFormat="false" ht="14.25" hidden="false" customHeight="false" outlineLevel="0" collapsed="false">
      <c r="A66" s="5" t="n">
        <v>56</v>
      </c>
      <c r="B66" s="5" t="n">
        <f aca="false">ROUNDUP(A66/12,0)</f>
        <v>5</v>
      </c>
      <c r="C66" s="20" t="n">
        <f aca="false">IF(A66=1,Supuestos!$B$18,IF(A66=2,Supuestos!$B$19,IF(A66=3,Supuestos!$B$20,IF(A66&lt;=15,(1+Supuestos!$B$21)^(1/12)-1,IF(A66&lt;=27,(1+Supuestos!$B$22)^(1/12)-1,(1+Supuestos!$B$23)^(1/12)-1)))))</f>
        <v>0.0110527242176297</v>
      </c>
      <c r="D66" s="19" t="n">
        <f aca="false">D65*(1+C66)</f>
        <v>1.98918619952531</v>
      </c>
      <c r="E66" s="7" t="n">
        <f aca="false">K65</f>
        <v>3220211.7326069</v>
      </c>
      <c r="F66" s="7" t="n">
        <f aca="false">E66*$E$4</f>
        <v>15674.5434395751</v>
      </c>
      <c r="G66" s="7" t="n">
        <f aca="false">H66-F66</f>
        <v>637802.973452215</v>
      </c>
      <c r="H66" s="7" t="n">
        <f aca="false">$E$5</f>
        <v>653477.51689179</v>
      </c>
      <c r="I66" s="7" t="n">
        <f aca="false">MAX(0,MIN(H66,$E$7-H66*(Supuestos!$B$14-A66)))</f>
        <v>24890.439186533</v>
      </c>
      <c r="J66" s="7" t="n">
        <f aca="false">H66-I66</f>
        <v>628587.077705257</v>
      </c>
      <c r="K66" s="7" t="n">
        <f aca="false">E66-G66</f>
        <v>2582408.75915469</v>
      </c>
      <c r="L66" s="7" t="n">
        <f aca="false">J66/D66</f>
        <v>316002.130848917</v>
      </c>
      <c r="M66" s="7" t="n">
        <f aca="false">F66/D66</f>
        <v>7879.87743093913</v>
      </c>
      <c r="N66" s="7" t="n">
        <f aca="false">G66/D66</f>
        <v>320635.128880553</v>
      </c>
      <c r="O66" s="7" t="n">
        <f aca="false">I66/D66</f>
        <v>12512.875462575</v>
      </c>
      <c r="P66" s="7" t="n">
        <f aca="false">E66*(1/D65-1/D66)</f>
        <v>17892.800689736</v>
      </c>
    </row>
    <row r="67" customFormat="false" ht="14.25" hidden="false" customHeight="false" outlineLevel="0" collapsed="false">
      <c r="A67" s="5" t="n">
        <v>57</v>
      </c>
      <c r="B67" s="5" t="n">
        <f aca="false">ROUNDUP(A67/12,0)</f>
        <v>5</v>
      </c>
      <c r="C67" s="20" t="n">
        <f aca="false">IF(A67=1,Supuestos!$B$18,IF(A67=2,Supuestos!$B$19,IF(A67=3,Supuestos!$B$20,IF(A67&lt;=15,(1+Supuestos!$B$21)^(1/12)-1,IF(A67&lt;=27,(1+Supuestos!$B$22)^(1/12)-1,(1+Supuestos!$B$23)^(1/12)-1)))))</f>
        <v>0.0110527242176297</v>
      </c>
      <c r="D67" s="19" t="n">
        <f aca="false">D66*(1+C67)</f>
        <v>2.01117212600618</v>
      </c>
      <c r="E67" s="7" t="n">
        <f aca="false">K66</f>
        <v>2582408.75915469</v>
      </c>
      <c r="F67" s="7" t="n">
        <f aca="false">E67*$E$4</f>
        <v>12570.0052155703</v>
      </c>
      <c r="G67" s="7" t="n">
        <f aca="false">H67-F67</f>
        <v>640907.511676219</v>
      </c>
      <c r="H67" s="7" t="n">
        <f aca="false">$E$5</f>
        <v>653477.51689179</v>
      </c>
      <c r="I67" s="7" t="n">
        <f aca="false">MAX(0,MIN(H67,$E$7-H67*(Supuestos!$B$14-A67)))</f>
        <v>653477.51689179</v>
      </c>
      <c r="J67" s="7" t="n">
        <f aca="false">H67-I67</f>
        <v>0</v>
      </c>
      <c r="K67" s="7" t="n">
        <f aca="false">E67-G67</f>
        <v>1941501.24747847</v>
      </c>
      <c r="L67" s="7" t="n">
        <f aca="false">J67/D67</f>
        <v>0</v>
      </c>
      <c r="M67" s="7" t="n">
        <f aca="false">F67/D67</f>
        <v>6250.08921565157</v>
      </c>
      <c r="N67" s="7" t="n">
        <f aca="false">G67/D67</f>
        <v>318673.62489204</v>
      </c>
      <c r="O67" s="7" t="n">
        <f aca="false">I67/D67</f>
        <v>324923.714107692</v>
      </c>
      <c r="P67" s="7" t="n">
        <f aca="false">E67*(1/D66-1/D67)</f>
        <v>14192.04824045</v>
      </c>
    </row>
    <row r="68" customFormat="false" ht="14.25" hidden="false" customHeight="false" outlineLevel="0" collapsed="false">
      <c r="A68" s="5" t="n">
        <v>58</v>
      </c>
      <c r="B68" s="5" t="n">
        <f aca="false">ROUNDUP(A68/12,0)</f>
        <v>5</v>
      </c>
      <c r="C68" s="20" t="n">
        <f aca="false">IF(A68=1,Supuestos!$B$18,IF(A68=2,Supuestos!$B$19,IF(A68=3,Supuestos!$B$20,IF(A68&lt;=15,(1+Supuestos!$B$21)^(1/12)-1,IF(A68&lt;=27,(1+Supuestos!$B$22)^(1/12)-1,(1+Supuestos!$B$23)^(1/12)-1)))))</f>
        <v>0.0110527242176297</v>
      </c>
      <c r="D68" s="19" t="n">
        <f aca="false">D67*(1+C68)</f>
        <v>2.03340105686911</v>
      </c>
      <c r="E68" s="7" t="n">
        <f aca="false">K67</f>
        <v>1941501.24747847</v>
      </c>
      <c r="F68" s="7" t="n">
        <f aca="false">E68*$E$4</f>
        <v>9450.35549477806</v>
      </c>
      <c r="G68" s="7" t="n">
        <f aca="false">H68-F68</f>
        <v>644027.161397012</v>
      </c>
      <c r="H68" s="7" t="n">
        <f aca="false">$E$5</f>
        <v>653477.51689179</v>
      </c>
      <c r="I68" s="7" t="n">
        <f aca="false">MAX(0,MIN(H68,$E$7-H68*(Supuestos!$B$14-A68)))</f>
        <v>653477.51689179</v>
      </c>
      <c r="J68" s="7" t="n">
        <f aca="false">H68-I68</f>
        <v>0</v>
      </c>
      <c r="K68" s="7" t="n">
        <f aca="false">E68-G68</f>
        <v>1297474.08608146</v>
      </c>
      <c r="L68" s="7" t="n">
        <f aca="false">J68/D68</f>
        <v>0</v>
      </c>
      <c r="M68" s="7" t="n">
        <f aca="false">F68/D68</f>
        <v>4647.5610223834</v>
      </c>
      <c r="N68" s="7" t="n">
        <f aca="false">G68/D68</f>
        <v>316724.120517888</v>
      </c>
      <c r="O68" s="7" t="n">
        <f aca="false">I68/D68</f>
        <v>321371.681540271</v>
      </c>
      <c r="P68" s="7" t="n">
        <f aca="false">E68*(1/D67-1/D68)</f>
        <v>10553.1949951893</v>
      </c>
    </row>
    <row r="69" customFormat="false" ht="14.25" hidden="false" customHeight="false" outlineLevel="0" collapsed="false">
      <c r="A69" s="5" t="n">
        <v>59</v>
      </c>
      <c r="B69" s="5" t="n">
        <f aca="false">ROUNDUP(A69/12,0)</f>
        <v>5</v>
      </c>
      <c r="C69" s="20" t="n">
        <f aca="false">IF(A69=1,Supuestos!$B$18,IF(A69=2,Supuestos!$B$19,IF(A69=3,Supuestos!$B$20,IF(A69&lt;=15,(1+Supuestos!$B$21)^(1/12)-1,IF(A69&lt;=27,(1+Supuestos!$B$22)^(1/12)-1,(1+Supuestos!$B$23)^(1/12)-1)))))</f>
        <v>0.0110527242176297</v>
      </c>
      <c r="D69" s="19" t="n">
        <f aca="false">D68*(1+C69)</f>
        <v>2.05587567797452</v>
      </c>
      <c r="E69" s="7" t="n">
        <f aca="false">K68</f>
        <v>1297474.08608146</v>
      </c>
      <c r="F69" s="7" t="n">
        <f aca="false">E69*$E$4</f>
        <v>6315.52072122376</v>
      </c>
      <c r="G69" s="7" t="n">
        <f aca="false">H69-F69</f>
        <v>647161.996170566</v>
      </c>
      <c r="H69" s="7" t="n">
        <f aca="false">$E$5</f>
        <v>653477.51689179</v>
      </c>
      <c r="I69" s="7" t="n">
        <f aca="false">MAX(0,MIN(H69,$E$7-H69*(Supuestos!$B$14-A69)))</f>
        <v>653477.51689179</v>
      </c>
      <c r="J69" s="7" t="n">
        <f aca="false">H69-I69</f>
        <v>0</v>
      </c>
      <c r="K69" s="7" t="n">
        <f aca="false">E69-G69</f>
        <v>650312.089910893</v>
      </c>
      <c r="L69" s="7" t="n">
        <f aca="false">J69/D69</f>
        <v>0</v>
      </c>
      <c r="M69" s="7" t="n">
        <f aca="false">F69/D69</f>
        <v>3071.93707717089</v>
      </c>
      <c r="N69" s="7" t="n">
        <f aca="false">G69/D69</f>
        <v>314786.542349759</v>
      </c>
      <c r="O69" s="7" t="n">
        <f aca="false">I69/D69</f>
        <v>317858.47942693</v>
      </c>
      <c r="P69" s="7" t="n">
        <f aca="false">E69*(1/D68-1/D69)</f>
        <v>6975.4330996844</v>
      </c>
    </row>
    <row r="70" customFormat="false" ht="14.25" hidden="false" customHeight="false" outlineLevel="0" collapsed="false">
      <c r="A70" s="5" t="n">
        <v>60</v>
      </c>
      <c r="B70" s="5" t="n">
        <f aca="false">ROUNDUP(A70/12,0)</f>
        <v>5</v>
      </c>
      <c r="C70" s="20" t="n">
        <f aca="false">IF(A70=1,Supuestos!$B$18,IF(A70=2,Supuestos!$B$19,IF(A70=3,Supuestos!$B$20,IF(A70&lt;=15,(1+Supuestos!$B$21)^(1/12)-1,IF(A70&lt;=27,(1+Supuestos!$B$22)^(1/12)-1,(1+Supuestos!$B$23)^(1/12)-1)))))</f>
        <v>0.0110527242176297</v>
      </c>
      <c r="D70" s="19" t="n">
        <f aca="false">D69*(1+C70)</f>
        <v>2.0785987048689</v>
      </c>
      <c r="E70" s="7" t="n">
        <f aca="false">K69</f>
        <v>650312.089910893</v>
      </c>
      <c r="F70" s="7" t="n">
        <f aca="false">E70*$E$4</f>
        <v>3165.42698089519</v>
      </c>
      <c r="G70" s="7" t="n">
        <f aca="false">H70-F70</f>
        <v>650312.089910894</v>
      </c>
      <c r="H70" s="7" t="n">
        <f aca="false">$E$5</f>
        <v>653477.51689179</v>
      </c>
      <c r="I70" s="7" t="n">
        <f aca="false">MAX(0,MIN(H70,$E$7-H70*(Supuestos!$B$14-A70)))</f>
        <v>653477.51689179</v>
      </c>
      <c r="J70" s="7" t="n">
        <f aca="false">H70-I70</f>
        <v>0</v>
      </c>
      <c r="K70" s="7" t="n">
        <f aca="false">E70-G70</f>
        <v>0</v>
      </c>
      <c r="L70" s="7" t="n">
        <f aca="false">J70/D70</f>
        <v>0</v>
      </c>
      <c r="M70" s="7" t="n">
        <f aca="false">F70/D70</f>
        <v>1522.86584874728</v>
      </c>
      <c r="N70" s="7" t="n">
        <f aca="false">G70/D70</f>
        <v>312860.817428398</v>
      </c>
      <c r="O70" s="7" t="n">
        <f aca="false">I70/D70</f>
        <v>314383.683277145</v>
      </c>
      <c r="P70" s="7" t="n">
        <f aca="false">E70*(1/D69-1/D70)</f>
        <v>3457.96433353827</v>
      </c>
    </row>
    <row r="71" customFormat="false" ht="14.25" hidden="false" customHeight="false" outlineLevel="0" collapsed="false">
      <c r="A71" s="21" t="s">
        <v>93</v>
      </c>
      <c r="F71" s="22" t="n">
        <f aca="false">SUM(F11:F70)</f>
        <v>5277601.01350738</v>
      </c>
      <c r="G71" s="22" t="n">
        <f aca="false">SUM(G11:G70)</f>
        <v>33931050</v>
      </c>
      <c r="H71" s="22" t="n">
        <f aca="false">SUM(H11:H70)</f>
        <v>39208651.0135074</v>
      </c>
      <c r="I71" s="22" t="n">
        <f aca="false">SUM(I11:I70)</f>
        <v>2638800.50675369</v>
      </c>
      <c r="J71" s="22" t="n">
        <f aca="false">SUM(J11:J70)</f>
        <v>36569850.5067537</v>
      </c>
      <c r="L71" s="22" t="n">
        <f aca="false">SUM(L11:L70)</f>
        <v>25555398.4323517</v>
      </c>
      <c r="M71" s="22" t="n">
        <f aca="false">SUM(M11:M70)</f>
        <v>4006422.97971087</v>
      </c>
      <c r="N71" s="22" t="n">
        <f aca="false">SUM(N11:N70)</f>
        <v>22840025.8864554</v>
      </c>
      <c r="O71" s="22" t="n">
        <f aca="false">SUM(O11:O70)</f>
        <v>1291050.43381461</v>
      </c>
      <c r="P71" s="22" t="n">
        <f aca="false">SUM(P11:P70)</f>
        <v>11091024.1135446</v>
      </c>
    </row>
    <row r="73" customFormat="false" ht="14.25" hidden="false" customHeight="false" outlineLevel="0" collapsed="false">
      <c r="A73" s="2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8671875" defaultRowHeight="14.25" zeroHeight="false" outlineLevelRow="0" outlineLevelCol="0"/>
  <cols>
    <col collapsed="false" customWidth="true" hidden="false" outlineLevel="0" max="1" min="1" style="0" width="62"/>
    <col collapsed="false" customWidth="true" hidden="false" outlineLevel="0" max="8" min="2" style="0" width="15"/>
  </cols>
  <sheetData>
    <row r="1" customFormat="false" ht="16.15" hidden="false" customHeight="false" outlineLevel="0" collapsed="false">
      <c r="A1" s="1" t="s">
        <v>95</v>
      </c>
    </row>
    <row r="3" customFormat="false" ht="14.25" hidden="false" customHeight="false" outlineLevel="0" collapsed="false">
      <c r="A3" s="3" t="s">
        <v>96</v>
      </c>
      <c r="B3" s="23" t="s">
        <v>97</v>
      </c>
      <c r="C3" s="23" t="s">
        <v>98</v>
      </c>
      <c r="D3" s="23" t="s">
        <v>99</v>
      </c>
      <c r="E3" s="23" t="s">
        <v>100</v>
      </c>
      <c r="F3" s="23" t="s">
        <v>101</v>
      </c>
      <c r="G3" s="23" t="s">
        <v>102</v>
      </c>
      <c r="H3" s="23" t="s">
        <v>93</v>
      </c>
    </row>
    <row r="4" customFormat="false" ht="14.25" hidden="false" customHeight="false" outlineLevel="0" collapsed="false">
      <c r="A4" s="24" t="s">
        <v>103</v>
      </c>
    </row>
    <row r="5" customFormat="false" ht="14.25" hidden="false" customHeight="false" outlineLevel="0" collapsed="false">
      <c r="A5" s="5" t="s">
        <v>104</v>
      </c>
      <c r="C5" s="16" t="n">
        <f aca="false">12*Supuestos!$B$31</f>
        <v>3000000</v>
      </c>
      <c r="D5" s="16" t="n">
        <f aca="false">12*Supuestos!$B$31</f>
        <v>3000000</v>
      </c>
      <c r="E5" s="16" t="n">
        <f aca="false">12*Supuestos!$B$31</f>
        <v>3000000</v>
      </c>
      <c r="F5" s="16" t="n">
        <f aca="false">12*Supuestos!$B$31</f>
        <v>3000000</v>
      </c>
      <c r="G5" s="16" t="n">
        <f aca="false">12*Supuestos!$B$31</f>
        <v>3000000</v>
      </c>
      <c r="H5" s="7" t="n">
        <f aca="false">SUM(B5:G5)</f>
        <v>15000000</v>
      </c>
    </row>
    <row r="6" customFormat="false" ht="14.25" hidden="false" customHeight="false" outlineLevel="0" collapsed="false">
      <c r="A6" s="5" t="s">
        <v>105</v>
      </c>
      <c r="C6" s="16" t="n">
        <f aca="false">12*Supuestos!$B$32</f>
        <v>5400000</v>
      </c>
      <c r="D6" s="16" t="n">
        <f aca="false">12*Supuestos!$B$32</f>
        <v>5400000</v>
      </c>
      <c r="E6" s="16" t="n">
        <f aca="false">12*Supuestos!$B$32</f>
        <v>5400000</v>
      </c>
      <c r="F6" s="16" t="n">
        <f aca="false">12*Supuestos!$B$32</f>
        <v>5400000</v>
      </c>
      <c r="G6" s="16" t="n">
        <f aca="false">12*Supuestos!$B$32</f>
        <v>5400000</v>
      </c>
      <c r="H6" s="7" t="n">
        <f aca="false">SUM(B6:G6)</f>
        <v>27000000</v>
      </c>
    </row>
    <row r="7" customFormat="false" ht="14.25" hidden="false" customHeight="false" outlineLevel="0" collapsed="false">
      <c r="A7" s="5" t="s">
        <v>106</v>
      </c>
      <c r="C7" s="16" t="n">
        <f aca="false">12*(Supuestos!$B$33+Supuestos!$B$34)</f>
        <v>9840000</v>
      </c>
      <c r="D7" s="16" t="n">
        <f aca="false">12*(Supuestos!$B$33+Supuestos!$B$34)</f>
        <v>9840000</v>
      </c>
      <c r="E7" s="16" t="n">
        <f aca="false">12*(Supuestos!$B$33+Supuestos!$B$34)</f>
        <v>9840000</v>
      </c>
      <c r="F7" s="16" t="n">
        <f aca="false">12*(Supuestos!$B$33+Supuestos!$B$34)</f>
        <v>9840000</v>
      </c>
      <c r="G7" s="16" t="n">
        <f aca="false">12*(Supuestos!$B$33+Supuestos!$B$34)</f>
        <v>9840000</v>
      </c>
      <c r="H7" s="7" t="n">
        <f aca="false">SUM(B7:G7)</f>
        <v>49200000</v>
      </c>
    </row>
    <row r="8" customFormat="false" ht="14.25" hidden="false" customHeight="false" outlineLevel="0" collapsed="false">
      <c r="A8" s="25" t="s">
        <v>107</v>
      </c>
      <c r="C8" s="22" t="n">
        <f aca="false">SUM(C5:C7)</f>
        <v>18240000</v>
      </c>
      <c r="D8" s="22" t="n">
        <f aca="false">SUM(D5:D7)</f>
        <v>18240000</v>
      </c>
      <c r="E8" s="22" t="n">
        <f aca="false">SUM(E5:E7)</f>
        <v>18240000</v>
      </c>
      <c r="F8" s="22" t="n">
        <f aca="false">SUM(F5:F7)</f>
        <v>18240000</v>
      </c>
      <c r="G8" s="22" t="n">
        <f aca="false">SUM(G5:G7)</f>
        <v>18240000</v>
      </c>
      <c r="H8" s="22" t="n">
        <f aca="false">SUM(B8:G8)</f>
        <v>91200000</v>
      </c>
    </row>
    <row r="10" customFormat="false" ht="14.25" hidden="false" customHeight="false" outlineLevel="0" collapsed="false">
      <c r="A10" s="24" t="s">
        <v>108</v>
      </c>
    </row>
    <row r="11" customFormat="false" ht="14.25" hidden="false" customHeight="false" outlineLevel="0" collapsed="false">
      <c r="A11" s="5" t="s">
        <v>109</v>
      </c>
      <c r="C11" s="16" t="n">
        <f aca="false">12*Supuestos!$B$31</f>
        <v>3000000</v>
      </c>
      <c r="D11" s="16" t="n">
        <f aca="false">12*Supuestos!$B$31</f>
        <v>3000000</v>
      </c>
      <c r="E11" s="16" t="n">
        <f aca="false">12*Supuestos!$B$31</f>
        <v>3000000</v>
      </c>
      <c r="F11" s="16" t="n">
        <f aca="false">12*Supuestos!$B$31</f>
        <v>3000000</v>
      </c>
      <c r="G11" s="16" t="n">
        <f aca="false">12*Supuestos!$B$31</f>
        <v>3000000</v>
      </c>
      <c r="H11" s="7" t="n">
        <f aca="false">SUM(B11:G11)</f>
        <v>15000000</v>
      </c>
    </row>
    <row r="12" customFormat="false" ht="14.25" hidden="false" customHeight="false" outlineLevel="0" collapsed="false">
      <c r="A12" s="5" t="s">
        <v>110</v>
      </c>
      <c r="C12" s="16" t="n">
        <f aca="false">12*Supuestos!$B$32*(1-Supuestos!$B$35)</f>
        <v>0</v>
      </c>
      <c r="D12" s="16" t="n">
        <f aca="false">12*Supuestos!$B$32*(1-Supuestos!$B$35)</f>
        <v>0</v>
      </c>
      <c r="E12" s="16" t="n">
        <f aca="false">12*Supuestos!$B$32*(1-Supuestos!$B$35)</f>
        <v>0</v>
      </c>
      <c r="F12" s="16" t="n">
        <f aca="false">12*Supuestos!$B$32*(1-Supuestos!$B$35)</f>
        <v>0</v>
      </c>
      <c r="G12" s="16" t="n">
        <f aca="false">12*Supuestos!$B$32*(1-Supuestos!$B$35)</f>
        <v>0</v>
      </c>
      <c r="H12" s="7" t="n">
        <f aca="false">SUM(B12:G12)</f>
        <v>0</v>
      </c>
    </row>
    <row r="13" customFormat="false" ht="14.25" hidden="false" customHeight="false" outlineLevel="0" collapsed="false">
      <c r="A13" s="5" t="s">
        <v>111</v>
      </c>
      <c r="C13" s="16" t="n">
        <f aca="false">12*(Supuestos!$B$33+Supuestos!$B$36)</f>
        <v>9840000</v>
      </c>
      <c r="D13" s="16" t="n">
        <f aca="false">12*(Supuestos!$B$33+Supuestos!$B$36)</f>
        <v>9840000</v>
      </c>
      <c r="E13" s="16" t="n">
        <f aca="false">12*(Supuestos!$B$33+Supuestos!$B$36)</f>
        <v>9840000</v>
      </c>
      <c r="F13" s="16" t="n">
        <f aca="false">12*(Supuestos!$B$33+Supuestos!$B$36)</f>
        <v>9840000</v>
      </c>
      <c r="G13" s="16" t="n">
        <f aca="false">12*(Supuestos!$B$33+Supuestos!$B$36)</f>
        <v>9840000</v>
      </c>
      <c r="H13" s="7" t="n">
        <f aca="false">SUM(B13:G13)</f>
        <v>49200000</v>
      </c>
    </row>
    <row r="14" customFormat="false" ht="14.25" hidden="false" customHeight="false" outlineLevel="0" collapsed="false">
      <c r="A14" s="5" t="s">
        <v>112</v>
      </c>
      <c r="C14" s="16" t="n">
        <f aca="false">12*Supuestos!$B$28</f>
        <v>1800000</v>
      </c>
      <c r="D14" s="16" t="n">
        <f aca="false">12*Supuestos!$B$28</f>
        <v>1800000</v>
      </c>
      <c r="E14" s="16" t="n">
        <f aca="false">12*Supuestos!$B$28</f>
        <v>1800000</v>
      </c>
      <c r="F14" s="16" t="n">
        <f aca="false">12*Supuestos!$B$28</f>
        <v>1800000</v>
      </c>
      <c r="G14" s="16" t="n">
        <f aca="false">12*Supuestos!$B$28</f>
        <v>1800000</v>
      </c>
      <c r="H14" s="7" t="n">
        <f aca="false">SUM(B14:G14)</f>
        <v>9000000</v>
      </c>
    </row>
    <row r="15" customFormat="false" ht="14.25" hidden="false" customHeight="false" outlineLevel="0" collapsed="false">
      <c r="A15" s="5" t="s">
        <v>113</v>
      </c>
      <c r="C15" s="16" t="n">
        <f aca="false">Supuestos!$B$15*Supuestos!$B$16</f>
        <v>749890</v>
      </c>
      <c r="D15" s="16" t="n">
        <f aca="false">Supuestos!$B$15*Supuestos!$B$16</f>
        <v>749890</v>
      </c>
      <c r="E15" s="16" t="n">
        <f aca="false">Supuestos!$B$15*Supuestos!$B$16</f>
        <v>749890</v>
      </c>
      <c r="F15" s="16" t="n">
        <f aca="false">Supuestos!$B$15*Supuestos!$B$16</f>
        <v>749890</v>
      </c>
      <c r="G15" s="16" t="n">
        <f aca="false">Supuestos!$B$15*Supuestos!$B$16</f>
        <v>749890</v>
      </c>
      <c r="H15" s="7" t="n">
        <f aca="false">SUM(B15:G15)</f>
        <v>3749450</v>
      </c>
    </row>
    <row r="16" customFormat="false" ht="14.25" hidden="false" customHeight="false" outlineLevel="0" collapsed="false">
      <c r="A16" s="5" t="s">
        <v>114</v>
      </c>
      <c r="C16" s="16" t="n">
        <f aca="false">IF(1&lt;=2,Supuestos!$B$37,Supuestos!$B$38)</f>
        <v>600000</v>
      </c>
      <c r="D16" s="16" t="n">
        <f aca="false">IF(2&lt;=2,Supuestos!$B$37,Supuestos!$B$38)</f>
        <v>600000</v>
      </c>
      <c r="E16" s="16" t="n">
        <f aca="false">IF(3&lt;=2,Supuestos!$B$37,Supuestos!$B$38)</f>
        <v>1200000</v>
      </c>
      <c r="F16" s="16" t="n">
        <f aca="false">IF(4&lt;=2,Supuestos!$B$37,Supuestos!$B$38)</f>
        <v>1200000</v>
      </c>
      <c r="G16" s="16" t="n">
        <f aca="false">IF(5&lt;=2,Supuestos!$B$37,Supuestos!$B$38)</f>
        <v>1200000</v>
      </c>
      <c r="H16" s="7" t="n">
        <f aca="false">SUM(B16:G16)</f>
        <v>4800000</v>
      </c>
    </row>
    <row r="17" customFormat="false" ht="14.25" hidden="false" customHeight="false" outlineLevel="0" collapsed="false">
      <c r="A17" s="5" t="s">
        <v>115</v>
      </c>
      <c r="C17" s="16" t="n">
        <f aca="false">IF(OR(1=3,1=5),Supuestos!$B$17,0)</f>
        <v>0</v>
      </c>
      <c r="D17" s="16" t="n">
        <f aca="false">IF(OR(2=3,2=5),Supuestos!$B$17,0)</f>
        <v>0</v>
      </c>
      <c r="E17" s="16" t="n">
        <f aca="false">IF(OR(3=3,3=5),Supuestos!$B$17,0)</f>
        <v>75000</v>
      </c>
      <c r="F17" s="16" t="n">
        <f aca="false">IF(OR(4=3,4=5),Supuestos!$B$17,0)</f>
        <v>0</v>
      </c>
      <c r="G17" s="16" t="n">
        <f aca="false">IF(OR(5=3,5=5),Supuestos!$B$17,0)</f>
        <v>75000</v>
      </c>
      <c r="H17" s="7" t="n">
        <f aca="false">SUM(B17:G17)</f>
        <v>150000</v>
      </c>
    </row>
    <row r="18" customFormat="false" ht="14.25" hidden="false" customHeight="false" outlineLevel="0" collapsed="false">
      <c r="A18" s="5" t="s">
        <v>116</v>
      </c>
      <c r="C18" s="16" t="n">
        <f aca="false">SUMIF('Préstamo INAES'!$B$11:$B$70,1,'Préstamo INAES'!$L$11:$L$70)</f>
        <v>7073688.72038555</v>
      </c>
      <c r="D18" s="16" t="n">
        <f aca="false">SUMIF('Préstamo INAES'!$B$11:$B$70,2,'Préstamo INAES'!$L$11:$L$70)</f>
        <v>5964728.02755251</v>
      </c>
      <c r="E18" s="16" t="n">
        <f aca="false">SUMIF('Préstamo INAES'!$B$11:$B$70,3,'Préstamo INAES'!$L$11:$L$70)</f>
        <v>5221329.0735611</v>
      </c>
      <c r="F18" s="16" t="n">
        <f aca="false">SUMIF('Préstamo INAES'!$B$11:$B$70,4,'Préstamo INAES'!$L$11:$L$70)</f>
        <v>4576099.10040412</v>
      </c>
      <c r="G18" s="16" t="n">
        <f aca="false">SUMIF('Préstamo INAES'!$B$11:$B$70,5,'Préstamo INAES'!$L$11:$L$70)</f>
        <v>2719553.51044842</v>
      </c>
      <c r="H18" s="7" t="n">
        <f aca="false">SUM(B18:G18)</f>
        <v>25555398.4323517</v>
      </c>
    </row>
    <row r="19" customFormat="false" ht="14.25" hidden="false" customHeight="false" outlineLevel="0" collapsed="false">
      <c r="A19" s="5" t="s">
        <v>117</v>
      </c>
      <c r="B19" s="16" t="n">
        <f aca="false">Supuestos!B9+Supuestos!B39-'Préstamo INAES'!E3</f>
        <v>5063450</v>
      </c>
      <c r="H19" s="7" t="n">
        <f aca="false">SUM(B19:G19)</f>
        <v>5063450</v>
      </c>
    </row>
    <row r="20" customFormat="false" ht="14.25" hidden="false" customHeight="false" outlineLevel="0" collapsed="false">
      <c r="A20" s="5" t="s">
        <v>118</v>
      </c>
      <c r="C20" s="16" t="n">
        <f aca="false">-Supuestos!B10</f>
        <v>-3563450</v>
      </c>
      <c r="H20" s="7" t="n">
        <f aca="false">SUM(B20:G20)</f>
        <v>-3563450</v>
      </c>
    </row>
    <row r="21" customFormat="false" ht="14.25" hidden="false" customHeight="false" outlineLevel="0" collapsed="false">
      <c r="A21" s="5" t="s">
        <v>119</v>
      </c>
      <c r="G21" s="16" t="n">
        <f aca="false">-Supuestos!B40*Supuestos!B8</f>
        <v>-13572420</v>
      </c>
      <c r="H21" s="7" t="n">
        <f aca="false">SUM(B21:G21)</f>
        <v>-13572420</v>
      </c>
    </row>
    <row r="22" customFormat="false" ht="14.25" hidden="false" customHeight="false" outlineLevel="0" collapsed="false">
      <c r="A22" s="25" t="s">
        <v>120</v>
      </c>
      <c r="B22" s="22" t="n">
        <f aca="false">SUM(B11:B21)</f>
        <v>5063450</v>
      </c>
      <c r="C22" s="22" t="n">
        <f aca="false">SUM(C11:C21)</f>
        <v>19500128.7203855</v>
      </c>
      <c r="D22" s="22" t="n">
        <f aca="false">SUM(D11:D21)</f>
        <v>21954618.0275525</v>
      </c>
      <c r="E22" s="22" t="n">
        <f aca="false">SUM(E11:E21)</f>
        <v>21886219.0735611</v>
      </c>
      <c r="F22" s="22" t="n">
        <f aca="false">SUM(F11:F21)</f>
        <v>21165989.1004041</v>
      </c>
      <c r="G22" s="22" t="n">
        <f aca="false">SUM(G11:G21)</f>
        <v>5812023.51044842</v>
      </c>
      <c r="H22" s="22" t="n">
        <f aca="false">SUM(B22:G22)</f>
        <v>95382428.4323517</v>
      </c>
    </row>
    <row r="24" customFormat="false" ht="14.25" hidden="false" customHeight="false" outlineLevel="0" collapsed="false">
      <c r="A24" s="21" t="s">
        <v>121</v>
      </c>
      <c r="B24" s="26" t="n">
        <f aca="false">N(B8)-B22</f>
        <v>-5063450</v>
      </c>
      <c r="C24" s="26" t="n">
        <f aca="false">N(C8)-C22</f>
        <v>-1260128.72038554</v>
      </c>
      <c r="D24" s="26" t="n">
        <f aca="false">N(D8)-D22</f>
        <v>-3714618.02755251</v>
      </c>
      <c r="E24" s="26" t="n">
        <f aca="false">N(E8)-E22</f>
        <v>-3646219.07356109</v>
      </c>
      <c r="F24" s="26" t="n">
        <f aca="false">N(F8)-F22</f>
        <v>-2925989.10040412</v>
      </c>
      <c r="G24" s="26" t="n">
        <f aca="false">N(G8)-G22</f>
        <v>12427976.4895516</v>
      </c>
      <c r="H24" s="26" t="n">
        <f aca="false">SUM(B24:G24)</f>
        <v>-4182428.43235168</v>
      </c>
    </row>
    <row r="26" customFormat="false" ht="14.25" hidden="false" customHeight="false" outlineLevel="0" collapsed="false">
      <c r="A26" s="21" t="s">
        <v>122</v>
      </c>
      <c r="B26" s="26" t="n">
        <f aca="false">NPV(Supuestos!$B$27,C8:G8)</f>
        <v>78969654.4723061</v>
      </c>
    </row>
    <row r="27" customFormat="false" ht="14.25" hidden="false" customHeight="false" outlineLevel="0" collapsed="false">
      <c r="A27" s="21" t="s">
        <v>123</v>
      </c>
      <c r="B27" s="26" t="n">
        <f aca="false">B22+NPV(Supuestos!$B$27,C22:G22)</f>
        <v>84421809.9418741</v>
      </c>
    </row>
    <row r="28" customFormat="false" ht="14.25" hidden="false" customHeight="false" outlineLevel="0" collapsed="false">
      <c r="A28" s="21" t="s">
        <v>124</v>
      </c>
      <c r="B28" s="26" t="n">
        <f aca="false">B26-B27</f>
        <v>-5452155.46956794</v>
      </c>
    </row>
    <row r="30" customFormat="false" ht="14.25" hidden="false" customHeight="false" outlineLevel="0" collapsed="false">
      <c r="A30" s="2" t="s">
        <v>125</v>
      </c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8671875" defaultRowHeight="14.25" zeroHeight="false" outlineLevelRow="0" outlineLevelCol="0"/>
  <cols>
    <col collapsed="false" customWidth="true" hidden="false" outlineLevel="0" max="1" min="1" style="0" width="62"/>
    <col collapsed="false" customWidth="true" hidden="false" outlineLevel="0" max="8" min="2" style="0" width="15"/>
  </cols>
  <sheetData>
    <row r="1" customFormat="false" ht="16.15" hidden="false" customHeight="false" outlineLevel="0" collapsed="false">
      <c r="A1" s="1" t="s">
        <v>126</v>
      </c>
    </row>
    <row r="2" customFormat="false" ht="14.25" hidden="false" customHeight="false" outlineLevel="0" collapsed="false">
      <c r="A2" s="2" t="s">
        <v>127</v>
      </c>
    </row>
    <row r="4" customFormat="false" ht="14.25" hidden="false" customHeight="false" outlineLevel="0" collapsed="false">
      <c r="A4" s="3" t="s">
        <v>96</v>
      </c>
      <c r="B4" s="23" t="s">
        <v>97</v>
      </c>
      <c r="C4" s="23" t="s">
        <v>98</v>
      </c>
      <c r="D4" s="23" t="s">
        <v>99</v>
      </c>
      <c r="E4" s="23" t="s">
        <v>100</v>
      </c>
      <c r="F4" s="23" t="s">
        <v>101</v>
      </c>
      <c r="G4" s="23" t="s">
        <v>102</v>
      </c>
      <c r="H4" s="23" t="s">
        <v>93</v>
      </c>
    </row>
    <row r="5" customFormat="false" ht="14.25" hidden="false" customHeight="false" outlineLevel="0" collapsed="false">
      <c r="A5" s="24" t="s">
        <v>128</v>
      </c>
    </row>
    <row r="6" customFormat="false" ht="14.25" hidden="false" customHeight="false" outlineLevel="0" collapsed="false">
      <c r="A6" s="5" t="s">
        <v>129</v>
      </c>
      <c r="C6" s="16" t="n">
        <f aca="false">12*Supuestos!$B$32*Supuestos!$B$35</f>
        <v>5400000</v>
      </c>
      <c r="D6" s="16" t="n">
        <f aca="false">12*Supuestos!$B$32*Supuestos!$B$35</f>
        <v>5400000</v>
      </c>
      <c r="E6" s="16" t="n">
        <f aca="false">12*Supuestos!$B$32*Supuestos!$B$35</f>
        <v>5400000</v>
      </c>
      <c r="F6" s="16" t="n">
        <f aca="false">12*Supuestos!$B$32*Supuestos!$B$35</f>
        <v>5400000</v>
      </c>
      <c r="G6" s="16" t="n">
        <f aca="false">12*Supuestos!$B$32*Supuestos!$B$35</f>
        <v>5400000</v>
      </c>
      <c r="H6" s="7" t="n">
        <f aca="false">SUM(B6:G6)</f>
        <v>27000000</v>
      </c>
    </row>
    <row r="7" customFormat="false" ht="14.25" hidden="false" customHeight="false" outlineLevel="0" collapsed="false">
      <c r="A7" s="5" t="s">
        <v>130</v>
      </c>
      <c r="C7" s="16" t="n">
        <f aca="false">12*(Supuestos!$B$34-Supuestos!$B$36)</f>
        <v>0</v>
      </c>
      <c r="D7" s="16" t="n">
        <f aca="false">12*(Supuestos!$B$34-Supuestos!$B$36)</f>
        <v>0</v>
      </c>
      <c r="E7" s="16" t="n">
        <f aca="false">12*(Supuestos!$B$34-Supuestos!$B$36)</f>
        <v>0</v>
      </c>
      <c r="F7" s="16" t="n">
        <f aca="false">12*(Supuestos!$B$34-Supuestos!$B$36)</f>
        <v>0</v>
      </c>
      <c r="G7" s="16" t="n">
        <f aca="false">12*(Supuestos!$B$34-Supuestos!$B$36)</f>
        <v>0</v>
      </c>
      <c r="H7" s="7" t="n">
        <f aca="false">SUM(B7:G7)</f>
        <v>0</v>
      </c>
    </row>
    <row r="8" customFormat="false" ht="14.25" hidden="false" customHeight="false" outlineLevel="0" collapsed="false">
      <c r="A8" s="25" t="s">
        <v>131</v>
      </c>
      <c r="C8" s="22" t="n">
        <f aca="false">SUM(C6:C7)</f>
        <v>5400000</v>
      </c>
      <c r="D8" s="22" t="n">
        <f aca="false">SUM(D6:D7)</f>
        <v>5400000</v>
      </c>
      <c r="E8" s="22" t="n">
        <f aca="false">SUM(E6:E7)</f>
        <v>5400000</v>
      </c>
      <c r="F8" s="22" t="n">
        <f aca="false">SUM(F6:F7)</f>
        <v>5400000</v>
      </c>
      <c r="G8" s="22" t="n">
        <f aca="false">SUM(G6:G7)</f>
        <v>5400000</v>
      </c>
      <c r="H8" s="22" t="n">
        <f aca="false">SUM(B8:G8)</f>
        <v>27000000</v>
      </c>
    </row>
    <row r="10" customFormat="false" ht="14.25" hidden="false" customHeight="false" outlineLevel="0" collapsed="false">
      <c r="A10" s="24" t="s">
        <v>132</v>
      </c>
    </row>
    <row r="11" customFormat="false" ht="14.25" hidden="false" customHeight="false" outlineLevel="0" collapsed="false">
      <c r="A11" s="5" t="s">
        <v>133</v>
      </c>
      <c r="C11" s="16" t="n">
        <f aca="false">-12*Supuestos!$B$28</f>
        <v>-1800000</v>
      </c>
      <c r="D11" s="16" t="n">
        <f aca="false">-12*Supuestos!$B$28</f>
        <v>-1800000</v>
      </c>
      <c r="E11" s="16" t="n">
        <f aca="false">-12*Supuestos!$B$28</f>
        <v>-1800000</v>
      </c>
      <c r="F11" s="16" t="n">
        <f aca="false">-12*Supuestos!$B$28</f>
        <v>-1800000</v>
      </c>
      <c r="G11" s="16" t="n">
        <f aca="false">-12*Supuestos!$B$28</f>
        <v>-1800000</v>
      </c>
      <c r="H11" s="7" t="n">
        <f aca="false">SUM(B11:G11)</f>
        <v>-9000000</v>
      </c>
    </row>
    <row r="12" customFormat="false" ht="14.25" hidden="false" customHeight="false" outlineLevel="0" collapsed="false">
      <c r="A12" s="5" t="s">
        <v>134</v>
      </c>
      <c r="C12" s="16" t="n">
        <f aca="false">-Supuestos!$B$15*Supuestos!$B$16</f>
        <v>-749890</v>
      </c>
      <c r="D12" s="16" t="n">
        <f aca="false">-Supuestos!$B$15*Supuestos!$B$16</f>
        <v>-749890</v>
      </c>
      <c r="E12" s="16" t="n">
        <f aca="false">-Supuestos!$B$15*Supuestos!$B$16</f>
        <v>-749890</v>
      </c>
      <c r="F12" s="16" t="n">
        <f aca="false">-Supuestos!$B$15*Supuestos!$B$16</f>
        <v>-749890</v>
      </c>
      <c r="G12" s="16" t="n">
        <f aca="false">-Supuestos!$B$15*Supuestos!$B$16</f>
        <v>-749890</v>
      </c>
      <c r="H12" s="7" t="n">
        <f aca="false">SUM(B12:G12)</f>
        <v>-3749450</v>
      </c>
    </row>
    <row r="13" customFormat="false" ht="14.25" hidden="false" customHeight="false" outlineLevel="0" collapsed="false">
      <c r="A13" s="5" t="s">
        <v>135</v>
      </c>
      <c r="C13" s="16" t="n">
        <f aca="false">-IF(1&lt;=2,Supuestos!$B$37,Supuestos!$B$38)</f>
        <v>-600000</v>
      </c>
      <c r="D13" s="16" t="n">
        <f aca="false">-IF(2&lt;=2,Supuestos!$B$37,Supuestos!$B$38)</f>
        <v>-600000</v>
      </c>
      <c r="E13" s="16" t="n">
        <f aca="false">-IF(3&lt;=2,Supuestos!$B$37,Supuestos!$B$38)</f>
        <v>-1200000</v>
      </c>
      <c r="F13" s="16" t="n">
        <f aca="false">-IF(4&lt;=2,Supuestos!$B$37,Supuestos!$B$38)</f>
        <v>-1200000</v>
      </c>
      <c r="G13" s="16" t="n">
        <f aca="false">-IF(5&lt;=2,Supuestos!$B$37,Supuestos!$B$38)</f>
        <v>-1200000</v>
      </c>
      <c r="H13" s="7" t="n">
        <f aca="false">SUM(B13:G13)</f>
        <v>-4800000</v>
      </c>
    </row>
    <row r="14" customFormat="false" ht="14.25" hidden="false" customHeight="false" outlineLevel="0" collapsed="false">
      <c r="A14" s="5" t="s">
        <v>115</v>
      </c>
      <c r="C14" s="16" t="n">
        <f aca="false">-IF(OR(1=3,1=5),Supuestos!$B$17,0)</f>
        <v>-0</v>
      </c>
      <c r="D14" s="16" t="n">
        <f aca="false">-IF(OR(2=3,2=5),Supuestos!$B$17,0)</f>
        <v>-0</v>
      </c>
      <c r="E14" s="16" t="n">
        <f aca="false">-IF(OR(3=3,3=5),Supuestos!$B$17,0)</f>
        <v>-75000</v>
      </c>
      <c r="F14" s="16" t="n">
        <f aca="false">-IF(OR(4=3,4=5),Supuestos!$B$17,0)</f>
        <v>-0</v>
      </c>
      <c r="G14" s="16" t="n">
        <f aca="false">-IF(OR(5=3,5=5),Supuestos!$B$17,0)</f>
        <v>-75000</v>
      </c>
      <c r="H14" s="7" t="n">
        <f aca="false">SUM(B14:G14)</f>
        <v>-150000</v>
      </c>
    </row>
    <row r="15" customFormat="false" ht="14.25" hidden="false" customHeight="false" outlineLevel="0" collapsed="false">
      <c r="A15" s="25" t="s">
        <v>136</v>
      </c>
      <c r="C15" s="22" t="n">
        <f aca="false">SUM(C11:C14)</f>
        <v>-3149890</v>
      </c>
      <c r="D15" s="22" t="n">
        <f aca="false">SUM(D11:D14)</f>
        <v>-3149890</v>
      </c>
      <c r="E15" s="22" t="n">
        <f aca="false">SUM(E11:E14)</f>
        <v>-3824890</v>
      </c>
      <c r="F15" s="22" t="n">
        <f aca="false">SUM(F11:F14)</f>
        <v>-3749890</v>
      </c>
      <c r="G15" s="22" t="n">
        <f aca="false">SUM(G11:G14)</f>
        <v>-3824890</v>
      </c>
      <c r="H15" s="22" t="n">
        <f aca="false">SUM(B15:G15)</f>
        <v>-17699450</v>
      </c>
    </row>
    <row r="17" customFormat="false" ht="14.25" hidden="false" customHeight="false" outlineLevel="0" collapsed="false">
      <c r="A17" s="21" t="s">
        <v>137</v>
      </c>
      <c r="C17" s="26" t="n">
        <f aca="false">C8+C15</f>
        <v>2250110</v>
      </c>
      <c r="D17" s="26" t="n">
        <f aca="false">D8+D15</f>
        <v>2250110</v>
      </c>
      <c r="E17" s="26" t="n">
        <f aca="false">E8+E15</f>
        <v>1575110</v>
      </c>
      <c r="F17" s="26" t="n">
        <f aca="false">F8+F15</f>
        <v>1650110</v>
      </c>
      <c r="G17" s="26" t="n">
        <f aca="false">G8+G15</f>
        <v>1575110</v>
      </c>
      <c r="H17" s="26" t="n">
        <f aca="false">SUM(B17:G17)</f>
        <v>9300550</v>
      </c>
    </row>
    <row r="18" customFormat="false" ht="14.25" hidden="false" customHeight="false" outlineLevel="0" collapsed="false">
      <c r="A18" s="5" t="s">
        <v>138</v>
      </c>
      <c r="C18" s="16" t="n">
        <f aca="false">-IF(1&lt;=Supuestos!$B$42,Supuestos!$B$8/Supuestos!$B$42,0)</f>
        <v>-6786210</v>
      </c>
      <c r="D18" s="16" t="n">
        <f aca="false">-IF(2&lt;=Supuestos!$B$42,Supuestos!$B$8/Supuestos!$B$42,0)</f>
        <v>-6786210</v>
      </c>
      <c r="E18" s="16" t="n">
        <f aca="false">-IF(3&lt;=Supuestos!$B$42,Supuestos!$B$8/Supuestos!$B$42,0)</f>
        <v>-6786210</v>
      </c>
      <c r="F18" s="16" t="n">
        <f aca="false">-IF(4&lt;=Supuestos!$B$42,Supuestos!$B$8/Supuestos!$B$42,0)</f>
        <v>-6786210</v>
      </c>
      <c r="G18" s="16" t="n">
        <f aca="false">-IF(5&lt;=Supuestos!$B$42,Supuestos!$B$8/Supuestos!$B$42,0)</f>
        <v>-6786210</v>
      </c>
      <c r="H18" s="7" t="n">
        <f aca="false">SUM(B18:G18)</f>
        <v>-33931050</v>
      </c>
    </row>
    <row r="19" customFormat="false" ht="14.25" hidden="false" customHeight="false" outlineLevel="0" collapsed="false">
      <c r="A19" s="25" t="s">
        <v>139</v>
      </c>
      <c r="C19" s="22" t="n">
        <f aca="false">C17+C18</f>
        <v>-4536100</v>
      </c>
      <c r="D19" s="22" t="n">
        <f aca="false">D17+D18</f>
        <v>-4536100</v>
      </c>
      <c r="E19" s="22" t="n">
        <f aca="false">E17+E18</f>
        <v>-5211100</v>
      </c>
      <c r="F19" s="22" t="n">
        <f aca="false">F17+F18</f>
        <v>-5136100</v>
      </c>
      <c r="G19" s="22" t="n">
        <f aca="false">G17+G18</f>
        <v>-5211100</v>
      </c>
      <c r="H19" s="22" t="n">
        <f aca="false">SUM(B19:G19)</f>
        <v>-24630500</v>
      </c>
    </row>
    <row r="21" customFormat="false" ht="14.25" hidden="false" customHeight="false" outlineLevel="0" collapsed="false">
      <c r="A21" s="24" t="s">
        <v>140</v>
      </c>
    </row>
    <row r="22" customFormat="false" ht="14.25" hidden="false" customHeight="false" outlineLevel="0" collapsed="false">
      <c r="A22" s="5" t="s">
        <v>141</v>
      </c>
      <c r="C22" s="16" t="n">
        <f aca="false">-SUMIF('Préstamo INAES'!$B$11:$B$70,1,'Préstamo INAES'!$M$11:$M$70)</f>
        <v>-1648919.67090068</v>
      </c>
      <c r="D22" s="16" t="n">
        <f aca="false">-SUMIF('Préstamo INAES'!$B$11:$B$70,2,'Préstamo INAES'!$M$11:$M$70)</f>
        <v>-1114771.99418126</v>
      </c>
      <c r="E22" s="16" t="n">
        <f aca="false">-SUMIF('Préstamo INAES'!$B$11:$B$70,3,'Préstamo INAES'!$M$11:$M$70)</f>
        <v>-720973.668757916</v>
      </c>
      <c r="F22" s="16" t="n">
        <f aca="false">-SUMIF('Préstamo INAES'!$B$11:$B$70,4,'Préstamo INAES'!$M$11:$M$70)</f>
        <v>-395225.542918251</v>
      </c>
      <c r="G22" s="16" t="n">
        <f aca="false">-SUMIF('Préstamo INAES'!$B$11:$B$70,5,'Préstamo INAES'!$M$11:$M$70)</f>
        <v>-126532.102952759</v>
      </c>
      <c r="H22" s="7" t="n">
        <f aca="false">SUM(B22:G22)</f>
        <v>-4006422.97971087</v>
      </c>
    </row>
    <row r="23" customFormat="false" ht="14.25" hidden="false" customHeight="false" outlineLevel="0" collapsed="false">
      <c r="A23" s="5" t="s">
        <v>142</v>
      </c>
      <c r="C23" s="16" t="n">
        <f aca="false">SUMIF('Préstamo INAES'!$B$11:$B$70,1,'Préstamo INAES'!$P$11:$P$70)</f>
        <v>5434284.26434047</v>
      </c>
      <c r="D23" s="16" t="n">
        <f aca="false">SUMIF('Préstamo INAES'!$B$11:$B$70,2,'Préstamo INAES'!$P$11:$P$70)</f>
        <v>2834875.68717501</v>
      </c>
      <c r="E23" s="16" t="n">
        <f aca="false">SUMIF('Préstamo INAES'!$B$11:$B$70,3,'Préstamo INAES'!$P$11:$P$70)</f>
        <v>1637111.52498163</v>
      </c>
      <c r="F23" s="16" t="n">
        <f aca="false">SUMIF('Préstamo INAES'!$B$11:$B$70,4,'Préstamo INAES'!$P$11:$P$70)</f>
        <v>897436.784887419</v>
      </c>
      <c r="G23" s="16" t="n">
        <f aca="false">SUMIF('Préstamo INAES'!$B$11:$B$70,5,'Préstamo INAES'!$P$11:$P$70)</f>
        <v>287315.852160031</v>
      </c>
      <c r="H23" s="7" t="n">
        <f aca="false">SUM(B23:G23)</f>
        <v>11091024.1135446</v>
      </c>
    </row>
    <row r="24" customFormat="false" ht="14.25" hidden="false" customHeight="false" outlineLevel="0" collapsed="false">
      <c r="A24" s="5" t="s">
        <v>143</v>
      </c>
      <c r="C24" s="16" t="n">
        <f aca="false">SUMIF('Préstamo INAES'!$B$11:$B$70,1,'Préstamo INAES'!$O$11:$O$70)</f>
        <v>0</v>
      </c>
      <c r="D24" s="16" t="n">
        <f aca="false">SUMIF('Préstamo INAES'!$B$11:$B$70,2,'Préstamo INAES'!$O$11:$O$70)</f>
        <v>0</v>
      </c>
      <c r="E24" s="16" t="n">
        <f aca="false">SUMIF('Préstamo INAES'!$B$11:$B$70,3,'Préstamo INAES'!$O$11:$O$70)</f>
        <v>0</v>
      </c>
      <c r="F24" s="16" t="n">
        <f aca="false">SUMIF('Préstamo INAES'!$B$11:$B$70,4,'Préstamo INAES'!$O$11:$O$70)</f>
        <v>0</v>
      </c>
      <c r="G24" s="16" t="n">
        <f aca="false">SUMIF('Préstamo INAES'!$B$11:$B$70,5,'Préstamo INAES'!$O$11:$O$70)</f>
        <v>1291050.43381461</v>
      </c>
      <c r="H24" s="7" t="n">
        <f aca="false">SUM(B24:G24)</f>
        <v>1291050.43381461</v>
      </c>
    </row>
    <row r="25" customFormat="false" ht="14.25" hidden="false" customHeight="false" outlineLevel="0" collapsed="false">
      <c r="A25" s="5" t="s">
        <v>144</v>
      </c>
      <c r="C25" s="16" t="n">
        <f aca="false">-Supuestos!$B$39</f>
        <v>-1500000</v>
      </c>
      <c r="D25" s="16" t="n">
        <f aca="false">0</f>
        <v>0</v>
      </c>
      <c r="E25" s="16" t="n">
        <f aca="false">0</f>
        <v>0</v>
      </c>
      <c r="F25" s="16" t="n">
        <f aca="false">0</f>
        <v>0</v>
      </c>
      <c r="G25" s="16" t="n">
        <f aca="false">0</f>
        <v>0</v>
      </c>
      <c r="H25" s="7" t="n">
        <f aca="false">SUM(B25:G25)</f>
        <v>-1500000</v>
      </c>
    </row>
    <row r="26" customFormat="false" ht="14.25" hidden="false" customHeight="false" outlineLevel="0" collapsed="false">
      <c r="A26" s="25" t="s">
        <v>145</v>
      </c>
      <c r="C26" s="22" t="n">
        <f aca="false">SUM(C22:C25)</f>
        <v>2285364.59343979</v>
      </c>
      <c r="D26" s="22" t="n">
        <f aca="false">SUM(D22:D25)</f>
        <v>1720103.69299375</v>
      </c>
      <c r="E26" s="22" t="n">
        <f aca="false">SUM(E22:E25)</f>
        <v>916137.856223716</v>
      </c>
      <c r="F26" s="22" t="n">
        <f aca="false">SUM(F22:F25)</f>
        <v>502211.241969168</v>
      </c>
      <c r="G26" s="22" t="n">
        <f aca="false">SUM(G22:G25)</f>
        <v>1451834.18302189</v>
      </c>
      <c r="H26" s="22" t="n">
        <f aca="false">SUM(B26:G26)</f>
        <v>6875651.56764831</v>
      </c>
    </row>
    <row r="28" customFormat="false" ht="14.25" hidden="false" customHeight="false" outlineLevel="0" collapsed="false">
      <c r="A28" s="5" t="s">
        <v>146</v>
      </c>
      <c r="C28" s="16" t="n">
        <f aca="false">0</f>
        <v>0</v>
      </c>
      <c r="D28" s="16" t="n">
        <f aca="false">0</f>
        <v>0</v>
      </c>
      <c r="E28" s="16" t="n">
        <f aca="false">0</f>
        <v>0</v>
      </c>
      <c r="F28" s="16" t="n">
        <f aca="false">0</f>
        <v>0</v>
      </c>
      <c r="G28" s="16" t="n">
        <f aca="false">Supuestos!$B$40*Supuestos!$B$8-(Supuestos!$B$8-MIN(5,Supuestos!$B$42)*Supuestos!$B$8/Supuestos!$B$42)</f>
        <v>13572420</v>
      </c>
      <c r="H28" s="7" t="n">
        <f aca="false">SUM(B28:G28)</f>
        <v>13572420</v>
      </c>
    </row>
    <row r="30" customFormat="false" ht="14.25" hidden="false" customHeight="false" outlineLevel="0" collapsed="false">
      <c r="A30" s="21" t="s">
        <v>147</v>
      </c>
      <c r="C30" s="26" t="n">
        <f aca="false">C19+C26+C28</f>
        <v>-2250735.40656021</v>
      </c>
      <c r="D30" s="26" t="n">
        <f aca="false">D19+D26+D28</f>
        <v>-2815996.30700625</v>
      </c>
      <c r="E30" s="26" t="n">
        <f aca="false">E19+E26+E28</f>
        <v>-4294962.14377628</v>
      </c>
      <c r="F30" s="26" t="n">
        <f aca="false">F19+F26+F28</f>
        <v>-4633888.75803083</v>
      </c>
      <c r="G30" s="26" t="n">
        <f aca="false">G19+G26+G28</f>
        <v>9813154.18302188</v>
      </c>
      <c r="H30" s="26" t="n">
        <f aca="false">SUM(B30:G30)</f>
        <v>-4182428.43235169</v>
      </c>
    </row>
    <row r="31" customFormat="false" ht="14.25" hidden="false" customHeight="false" outlineLevel="0" collapsed="false">
      <c r="A31" s="5" t="s">
        <v>148</v>
      </c>
      <c r="C31" s="7" t="n">
        <f aca="false">0</f>
        <v>0</v>
      </c>
      <c r="D31" s="7" t="n">
        <f aca="false">0</f>
        <v>0</v>
      </c>
      <c r="E31" s="7" t="n">
        <f aca="false">0</f>
        <v>0</v>
      </c>
      <c r="F31" s="7" t="n">
        <f aca="false">0</f>
        <v>0</v>
      </c>
      <c r="G31" s="7" t="n">
        <f aca="false">0</f>
        <v>0</v>
      </c>
      <c r="H31" s="7" t="n">
        <f aca="false">SUM(B31:G31)</f>
        <v>0</v>
      </c>
    </row>
    <row r="32" customFormat="false" ht="14.25" hidden="false" customHeight="false" outlineLevel="0" collapsed="false">
      <c r="A32" s="25" t="s">
        <v>149</v>
      </c>
      <c r="C32" s="22" t="n">
        <f aca="false">C30-C31</f>
        <v>-2250735.40656021</v>
      </c>
      <c r="D32" s="22" t="n">
        <f aca="false">D30-D31</f>
        <v>-2815996.30700625</v>
      </c>
      <c r="E32" s="22" t="n">
        <f aca="false">E30-E31</f>
        <v>-4294962.14377628</v>
      </c>
      <c r="F32" s="22" t="n">
        <f aca="false">F30-F31</f>
        <v>-4633888.75803083</v>
      </c>
      <c r="G32" s="22" t="n">
        <f aca="false">G30-G31</f>
        <v>9813154.18302188</v>
      </c>
      <c r="H32" s="22" t="n">
        <f aca="false">SUM(B32:G32)</f>
        <v>-4182428.43235169</v>
      </c>
    </row>
    <row r="34" customFormat="false" ht="14.25" hidden="false" customHeight="false" outlineLevel="0" collapsed="false">
      <c r="A34" s="2" t="s">
        <v>150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8671875" defaultRowHeight="14.25" zeroHeight="false" outlineLevelRow="0" outlineLevelCol="0"/>
  <cols>
    <col collapsed="false" customWidth="true" hidden="false" outlineLevel="0" max="1" min="1" style="0" width="62"/>
    <col collapsed="false" customWidth="true" hidden="false" outlineLevel="0" max="8" min="2" style="0" width="15"/>
  </cols>
  <sheetData>
    <row r="1" customFormat="false" ht="16.15" hidden="false" customHeight="false" outlineLevel="0" collapsed="false">
      <c r="A1" s="1" t="s">
        <v>151</v>
      </c>
    </row>
    <row r="2" customFormat="false" ht="14.25" hidden="false" customHeight="false" outlineLevel="0" collapsed="false">
      <c r="A2" s="2" t="s">
        <v>152</v>
      </c>
    </row>
    <row r="4" customFormat="false" ht="14.25" hidden="false" customHeight="false" outlineLevel="0" collapsed="false">
      <c r="A4" s="3" t="s">
        <v>96</v>
      </c>
      <c r="B4" s="23" t="s">
        <v>97</v>
      </c>
      <c r="C4" s="23" t="s">
        <v>98</v>
      </c>
      <c r="D4" s="23" t="s">
        <v>99</v>
      </c>
      <c r="E4" s="23" t="s">
        <v>100</v>
      </c>
      <c r="F4" s="23" t="s">
        <v>101</v>
      </c>
      <c r="G4" s="23" t="s">
        <v>102</v>
      </c>
      <c r="H4" s="23" t="s">
        <v>93</v>
      </c>
    </row>
    <row r="5" customFormat="false" ht="14.25" hidden="false" customHeight="false" outlineLevel="0" collapsed="false">
      <c r="A5" s="24" t="s">
        <v>153</v>
      </c>
    </row>
    <row r="6" customFormat="false" ht="14.25" hidden="false" customHeight="false" outlineLevel="0" collapsed="false">
      <c r="A6" s="5" t="s">
        <v>128</v>
      </c>
      <c r="C6" s="16" t="n">
        <f aca="false">EERR!C8</f>
        <v>5400000</v>
      </c>
      <c r="D6" s="16" t="n">
        <f aca="false">EERR!D8</f>
        <v>5400000</v>
      </c>
      <c r="E6" s="16" t="n">
        <f aca="false">EERR!E8</f>
        <v>5400000</v>
      </c>
      <c r="F6" s="16" t="n">
        <f aca="false">EERR!F8</f>
        <v>5400000</v>
      </c>
      <c r="G6" s="16" t="n">
        <f aca="false">EERR!G8</f>
        <v>5400000</v>
      </c>
      <c r="H6" s="7" t="n">
        <f aca="false">SUM(B6:G6)</f>
        <v>27000000</v>
      </c>
    </row>
    <row r="7" customFormat="false" ht="14.25" hidden="false" customHeight="false" outlineLevel="0" collapsed="false">
      <c r="A7" s="5" t="s">
        <v>132</v>
      </c>
      <c r="C7" s="16" t="n">
        <f aca="false">EERR!C15</f>
        <v>-3149890</v>
      </c>
      <c r="D7" s="16" t="n">
        <f aca="false">EERR!D15</f>
        <v>-3149890</v>
      </c>
      <c r="E7" s="16" t="n">
        <f aca="false">EERR!E15</f>
        <v>-3824890</v>
      </c>
      <c r="F7" s="16" t="n">
        <f aca="false">EERR!F15</f>
        <v>-3749890</v>
      </c>
      <c r="G7" s="16" t="n">
        <f aca="false">EERR!G15</f>
        <v>-3824890</v>
      </c>
      <c r="H7" s="7" t="n">
        <f aca="false">SUM(B7:G7)</f>
        <v>-17699450</v>
      </c>
    </row>
    <row r="8" customFormat="false" ht="14.25" hidden="false" customHeight="false" outlineLevel="0" collapsed="false">
      <c r="A8" s="5" t="s">
        <v>154</v>
      </c>
      <c r="C8" s="16" t="n">
        <f aca="false">EERR!C18</f>
        <v>-6786210</v>
      </c>
      <c r="D8" s="16" t="n">
        <f aca="false">EERR!D18</f>
        <v>-6786210</v>
      </c>
      <c r="E8" s="16" t="n">
        <f aca="false">EERR!E18</f>
        <v>-6786210</v>
      </c>
      <c r="F8" s="16" t="n">
        <f aca="false">EERR!F18</f>
        <v>-6786210</v>
      </c>
      <c r="G8" s="16" t="n">
        <f aca="false">EERR!G18</f>
        <v>-6786210</v>
      </c>
      <c r="H8" s="7" t="n">
        <f aca="false">SUM(B8:G8)</f>
        <v>-33931050</v>
      </c>
    </row>
    <row r="9" customFormat="false" ht="14.25" hidden="false" customHeight="false" outlineLevel="0" collapsed="false">
      <c r="A9" s="25" t="s">
        <v>155</v>
      </c>
      <c r="C9" s="22" t="n">
        <f aca="false">SUM(C6:C8)</f>
        <v>-4536100</v>
      </c>
      <c r="D9" s="22" t="n">
        <f aca="false">SUM(D6:D8)</f>
        <v>-4536100</v>
      </c>
      <c r="E9" s="22" t="n">
        <f aca="false">SUM(E6:E8)</f>
        <v>-5211100</v>
      </c>
      <c r="F9" s="22" t="n">
        <f aca="false">SUM(F6:F8)</f>
        <v>-5136100</v>
      </c>
      <c r="G9" s="22" t="n">
        <f aca="false">SUM(G6:G8)</f>
        <v>-5211100</v>
      </c>
      <c r="H9" s="22" t="n">
        <f aca="false">SUM(B9:G9)</f>
        <v>-24630500</v>
      </c>
    </row>
    <row r="10" customFormat="false" ht="14.25" hidden="false" customHeight="false" outlineLevel="0" collapsed="false">
      <c r="A10" s="5" t="s">
        <v>156</v>
      </c>
      <c r="C10" s="7" t="n">
        <f aca="false">0</f>
        <v>0</v>
      </c>
      <c r="D10" s="7" t="n">
        <f aca="false">0</f>
        <v>0</v>
      </c>
      <c r="E10" s="7" t="n">
        <f aca="false">0</f>
        <v>0</v>
      </c>
      <c r="F10" s="7" t="n">
        <f aca="false">0</f>
        <v>0</v>
      </c>
      <c r="G10" s="7" t="n">
        <f aca="false">0</f>
        <v>0</v>
      </c>
      <c r="H10" s="7" t="n">
        <f aca="false">SUM(B10:G10)</f>
        <v>0</v>
      </c>
    </row>
    <row r="11" customFormat="false" ht="14.25" hidden="false" customHeight="false" outlineLevel="0" collapsed="false">
      <c r="A11" s="21" t="s">
        <v>157</v>
      </c>
      <c r="C11" s="26" t="n">
        <f aca="false">C9-C10</f>
        <v>-4536100</v>
      </c>
      <c r="D11" s="26" t="n">
        <f aca="false">D9-D10</f>
        <v>-4536100</v>
      </c>
      <c r="E11" s="26" t="n">
        <f aca="false">E9-E10</f>
        <v>-5211100</v>
      </c>
      <c r="F11" s="26" t="n">
        <f aca="false">F9-F10</f>
        <v>-5136100</v>
      </c>
      <c r="G11" s="26" t="n">
        <f aca="false">G9-G10</f>
        <v>-5211100</v>
      </c>
      <c r="H11" s="26" t="n">
        <f aca="false">SUM(B11:G11)</f>
        <v>-24630500</v>
      </c>
    </row>
    <row r="12" customFormat="false" ht="14.25" hidden="false" customHeight="false" outlineLevel="0" collapsed="false">
      <c r="A12" s="5" t="s">
        <v>158</v>
      </c>
      <c r="C12" s="7" t="n">
        <f aca="false">-C8</f>
        <v>6786210</v>
      </c>
      <c r="D12" s="7" t="n">
        <f aca="false">-D8</f>
        <v>6786210</v>
      </c>
      <c r="E12" s="7" t="n">
        <f aca="false">-E8</f>
        <v>6786210</v>
      </c>
      <c r="F12" s="7" t="n">
        <f aca="false">-F8</f>
        <v>6786210</v>
      </c>
      <c r="G12" s="7" t="n">
        <f aca="false">-G8</f>
        <v>6786210</v>
      </c>
      <c r="H12" s="7" t="n">
        <f aca="false">SUM(B12:G12)</f>
        <v>33931050</v>
      </c>
    </row>
    <row r="13" customFormat="false" ht="14.25" hidden="false" customHeight="false" outlineLevel="0" collapsed="false">
      <c r="A13" s="5" t="s">
        <v>159</v>
      </c>
      <c r="B13" s="16" t="n">
        <f aca="false">-Supuestos!B9</f>
        <v>-37494500</v>
      </c>
      <c r="C13" s="16" t="n">
        <f aca="false">0</f>
        <v>0</v>
      </c>
      <c r="D13" s="16" t="n">
        <f aca="false">0</f>
        <v>0</v>
      </c>
      <c r="E13" s="16" t="n">
        <f aca="false">0</f>
        <v>0</v>
      </c>
      <c r="F13" s="16" t="n">
        <f aca="false">0</f>
        <v>0</v>
      </c>
      <c r="G13" s="16" t="n">
        <f aca="false">0</f>
        <v>0</v>
      </c>
      <c r="H13" s="7" t="n">
        <f aca="false">SUM(B13:G13)</f>
        <v>-37494500</v>
      </c>
    </row>
    <row r="14" customFormat="false" ht="14.25" hidden="false" customHeight="false" outlineLevel="0" collapsed="false">
      <c r="A14" s="5" t="s">
        <v>144</v>
      </c>
      <c r="B14" s="16" t="n">
        <f aca="false">-Supuestos!B39</f>
        <v>-1500000</v>
      </c>
      <c r="C14" s="16" t="n">
        <f aca="false">0</f>
        <v>0</v>
      </c>
      <c r="D14" s="16" t="n">
        <f aca="false">0</f>
        <v>0</v>
      </c>
      <c r="E14" s="16" t="n">
        <f aca="false">0</f>
        <v>0</v>
      </c>
      <c r="F14" s="16" t="n">
        <f aca="false">0</f>
        <v>0</v>
      </c>
      <c r="G14" s="16" t="n">
        <f aca="false">0</f>
        <v>0</v>
      </c>
      <c r="H14" s="7" t="n">
        <f aca="false">SUM(B14:G14)</f>
        <v>-1500000</v>
      </c>
    </row>
    <row r="15" customFormat="false" ht="14.25" hidden="false" customHeight="false" outlineLevel="0" collapsed="false">
      <c r="A15" s="5" t="s">
        <v>160</v>
      </c>
      <c r="B15" s="16" t="n">
        <f aca="false">0</f>
        <v>0</v>
      </c>
      <c r="C15" s="16" t="n">
        <f aca="false">Supuestos!B10</f>
        <v>3563450</v>
      </c>
      <c r="D15" s="16" t="n">
        <f aca="false">0</f>
        <v>0</v>
      </c>
      <c r="E15" s="16" t="n">
        <f aca="false">0</f>
        <v>0</v>
      </c>
      <c r="F15" s="16" t="n">
        <f aca="false">0</f>
        <v>0</v>
      </c>
      <c r="G15" s="16" t="n">
        <f aca="false">0</f>
        <v>0</v>
      </c>
      <c r="H15" s="7" t="n">
        <f aca="false">SUM(B15:G15)</f>
        <v>3563450</v>
      </c>
    </row>
    <row r="16" customFormat="false" ht="14.25" hidden="false" customHeight="false" outlineLevel="0" collapsed="false">
      <c r="A16" s="5" t="s">
        <v>161</v>
      </c>
      <c r="B16" s="16" t="n">
        <f aca="false">0</f>
        <v>0</v>
      </c>
      <c r="C16" s="16" t="n">
        <f aca="false">0</f>
        <v>0</v>
      </c>
      <c r="D16" s="16" t="n">
        <f aca="false">0</f>
        <v>0</v>
      </c>
      <c r="E16" s="16" t="n">
        <f aca="false">0</f>
        <v>0</v>
      </c>
      <c r="F16" s="16" t="n">
        <f aca="false">0</f>
        <v>0</v>
      </c>
      <c r="G16" s="16" t="n">
        <f aca="false">Supuestos!B40*Supuestos!B8</f>
        <v>13572420</v>
      </c>
      <c r="H16" s="7" t="n">
        <f aca="false">SUM(B16:G16)</f>
        <v>13572420</v>
      </c>
    </row>
    <row r="17" customFormat="false" ht="14.25" hidden="false" customHeight="false" outlineLevel="0" collapsed="false">
      <c r="A17" s="25" t="s">
        <v>162</v>
      </c>
      <c r="B17" s="22" t="n">
        <f aca="false">SUM(B13:B16)</f>
        <v>-38994500</v>
      </c>
      <c r="C17" s="22" t="n">
        <f aca="false">C11+C12+SUM(C13:C16)</f>
        <v>5813560</v>
      </c>
      <c r="D17" s="22" t="n">
        <f aca="false">D11+D12+SUM(D13:D16)</f>
        <v>2250110</v>
      </c>
      <c r="E17" s="22" t="n">
        <f aca="false">E11+E12+SUM(E13:E16)</f>
        <v>1575110</v>
      </c>
      <c r="F17" s="22" t="n">
        <f aca="false">F11+F12+SUM(F13:F16)</f>
        <v>1650110</v>
      </c>
      <c r="G17" s="22" t="n">
        <f aca="false">G11+G12+SUM(G13:G16)</f>
        <v>15147530</v>
      </c>
      <c r="H17" s="22" t="n">
        <f aca="false">SUM(B17:G17)</f>
        <v>-12558080</v>
      </c>
    </row>
    <row r="19" customFormat="false" ht="14.25" hidden="false" customHeight="false" outlineLevel="0" collapsed="false">
      <c r="A19" s="24" t="s">
        <v>163</v>
      </c>
    </row>
    <row r="20" customFormat="false" ht="14.25" hidden="false" customHeight="false" outlineLevel="0" collapsed="false">
      <c r="A20" s="5" t="s">
        <v>164</v>
      </c>
      <c r="B20" s="16" t="n">
        <f aca="false">'Préstamo INAES'!E3</f>
        <v>33931050</v>
      </c>
      <c r="C20" s="16" t="n">
        <f aca="false">0</f>
        <v>0</v>
      </c>
      <c r="D20" s="16" t="n">
        <f aca="false">0</f>
        <v>0</v>
      </c>
      <c r="E20" s="16" t="n">
        <f aca="false">0</f>
        <v>0</v>
      </c>
      <c r="F20" s="16" t="n">
        <f aca="false">0</f>
        <v>0</v>
      </c>
      <c r="G20" s="16" t="n">
        <f aca="false">0</f>
        <v>0</v>
      </c>
      <c r="H20" s="7" t="n">
        <f aca="false">SUM(B20:G20)</f>
        <v>33931050</v>
      </c>
    </row>
    <row r="21" customFormat="false" ht="14.25" hidden="false" customHeight="false" outlineLevel="0" collapsed="false">
      <c r="A21" s="5" t="s">
        <v>165</v>
      </c>
      <c r="C21" s="16" t="n">
        <f aca="false">-SUMIF('Préstamo INAES'!$B$11:$B$70,1,'Préstamo INAES'!$M$11:$M$70)</f>
        <v>-1648919.67090068</v>
      </c>
      <c r="D21" s="16" t="n">
        <f aca="false">-SUMIF('Préstamo INAES'!$B$11:$B$70,2,'Préstamo INAES'!$M$11:$M$70)</f>
        <v>-1114771.99418126</v>
      </c>
      <c r="E21" s="16" t="n">
        <f aca="false">-SUMIF('Préstamo INAES'!$B$11:$B$70,3,'Préstamo INAES'!$M$11:$M$70)</f>
        <v>-720973.668757916</v>
      </c>
      <c r="F21" s="16" t="n">
        <f aca="false">-SUMIF('Préstamo INAES'!$B$11:$B$70,4,'Préstamo INAES'!$M$11:$M$70)</f>
        <v>-395225.542918251</v>
      </c>
      <c r="G21" s="16" t="n">
        <f aca="false">-SUMIF('Préstamo INAES'!$B$11:$B$70,5,'Préstamo INAES'!$M$11:$M$70)</f>
        <v>-126532.102952759</v>
      </c>
      <c r="H21" s="7" t="n">
        <f aca="false">SUM(B21:G21)</f>
        <v>-4006422.97971087</v>
      </c>
    </row>
    <row r="22" customFormat="false" ht="14.25" hidden="false" customHeight="false" outlineLevel="0" collapsed="false">
      <c r="A22" s="5" t="s">
        <v>166</v>
      </c>
      <c r="C22" s="16" t="n">
        <f aca="false">-SUMIF('Préstamo INAES'!$B$11:$B$70,1,'Préstamo INAES'!$N$11:$N$70)</f>
        <v>-5424769.04948487</v>
      </c>
      <c r="D22" s="16" t="n">
        <f aca="false">-SUMIF('Préstamo INAES'!$B$11:$B$70,2,'Préstamo INAES'!$N$11:$N$70)</f>
        <v>-4849956.03337125</v>
      </c>
      <c r="E22" s="16" t="n">
        <f aca="false">-SUMIF('Préstamo INAES'!$B$11:$B$70,3,'Préstamo INAES'!$N$11:$N$70)</f>
        <v>-4500355.40480318</v>
      </c>
      <c r="F22" s="16" t="n">
        <f aca="false">-SUMIF('Préstamo INAES'!$B$11:$B$70,4,'Préstamo INAES'!$N$11:$N$70)</f>
        <v>-4180873.55748587</v>
      </c>
      <c r="G22" s="16" t="n">
        <f aca="false">-SUMIF('Préstamo INAES'!$B$11:$B$70,5,'Préstamo INAES'!$N$11:$N$70)</f>
        <v>-3884071.84131027</v>
      </c>
      <c r="H22" s="7" t="n">
        <f aca="false">SUM(B22:G22)</f>
        <v>-22840025.8864554</v>
      </c>
    </row>
    <row r="23" customFormat="false" ht="14.25" hidden="false" customHeight="false" outlineLevel="0" collapsed="false">
      <c r="A23" s="5" t="s">
        <v>167</v>
      </c>
      <c r="C23" s="16" t="n">
        <f aca="false">SUMIF('Préstamo INAES'!$B$11:$B$70,1,'Préstamo INAES'!$O$11:$O$70)</f>
        <v>0</v>
      </c>
      <c r="D23" s="16" t="n">
        <f aca="false">SUMIF('Préstamo INAES'!$B$11:$B$70,2,'Préstamo INAES'!$O$11:$O$70)</f>
        <v>0</v>
      </c>
      <c r="E23" s="16" t="n">
        <f aca="false">SUMIF('Préstamo INAES'!$B$11:$B$70,3,'Préstamo INAES'!$O$11:$O$70)</f>
        <v>0</v>
      </c>
      <c r="F23" s="16" t="n">
        <f aca="false">SUMIF('Préstamo INAES'!$B$11:$B$70,4,'Préstamo INAES'!$O$11:$O$70)</f>
        <v>0</v>
      </c>
      <c r="G23" s="16" t="n">
        <f aca="false">SUMIF('Préstamo INAES'!$B$11:$B$70,5,'Préstamo INAES'!$O$11:$O$70)</f>
        <v>1291050.43381461</v>
      </c>
      <c r="H23" s="7" t="n">
        <f aca="false">SUM(B23:G23)</f>
        <v>1291050.43381461</v>
      </c>
    </row>
    <row r="24" customFormat="false" ht="14.25" hidden="false" customHeight="false" outlineLevel="0" collapsed="false">
      <c r="A24" s="25" t="s">
        <v>168</v>
      </c>
      <c r="B24" s="22" t="n">
        <f aca="false">B17+SUM(B20:B23)</f>
        <v>-5063450</v>
      </c>
      <c r="C24" s="22" t="n">
        <f aca="false">C17+SUM(C20:C23)</f>
        <v>-1260128.72038555</v>
      </c>
      <c r="D24" s="22" t="n">
        <f aca="false">D17+SUM(D20:D23)</f>
        <v>-3714618.02755251</v>
      </c>
      <c r="E24" s="22" t="n">
        <f aca="false">E17+SUM(E20:E23)</f>
        <v>-3646219.07356109</v>
      </c>
      <c r="F24" s="22" t="n">
        <f aca="false">F17+SUM(F20:F23)</f>
        <v>-2925989.10040412</v>
      </c>
      <c r="G24" s="22" t="n">
        <f aca="false">G17+SUM(G20:G23)</f>
        <v>12427976.4895516</v>
      </c>
      <c r="H24" s="22" t="n">
        <f aca="false">SUM(B24:G24)</f>
        <v>-4182428.43235169</v>
      </c>
    </row>
    <row r="26" customFormat="false" ht="14.25" hidden="false" customHeight="false" outlineLevel="0" collapsed="false">
      <c r="A26" s="24" t="s">
        <v>169</v>
      </c>
    </row>
    <row r="27" customFormat="false" ht="14.25" hidden="false" customHeight="false" outlineLevel="0" collapsed="false">
      <c r="A27" s="5" t="s">
        <v>170</v>
      </c>
      <c r="B27" s="7" t="n">
        <f aca="false">B17</f>
        <v>-38994500</v>
      </c>
      <c r="C27" s="7" t="n">
        <f aca="false">B27+C17</f>
        <v>-33180940</v>
      </c>
      <c r="D27" s="7" t="n">
        <f aca="false">C27+D17</f>
        <v>-30930830</v>
      </c>
      <c r="E27" s="7" t="n">
        <f aca="false">D27+E17</f>
        <v>-29355720</v>
      </c>
      <c r="F27" s="7" t="n">
        <f aca="false">E27+F17</f>
        <v>-27705610</v>
      </c>
      <c r="G27" s="7" t="n">
        <f aca="false">F27+G17</f>
        <v>-12558080</v>
      </c>
    </row>
    <row r="28" customFormat="false" ht="14.25" hidden="false" customHeight="false" outlineLevel="0" collapsed="false">
      <c r="A28" s="5" t="s">
        <v>171</v>
      </c>
      <c r="B28" s="7" t="n">
        <f aca="false">B17</f>
        <v>-38994500</v>
      </c>
      <c r="C28" s="7" t="n">
        <f aca="false">B28+C17/(1+Supuestos!$B$27)^1</f>
        <v>-33457776.1904762</v>
      </c>
      <c r="D28" s="7" t="n">
        <f aca="false">C28+D17/(1+Supuestos!$B$27)^2</f>
        <v>-31416860.0907029</v>
      </c>
      <c r="E28" s="7" t="n">
        <f aca="false">D28+E17/(1+Supuestos!$B$27)^3</f>
        <v>-30056220.85088</v>
      </c>
      <c r="F28" s="7" t="n">
        <f aca="false">E28+F17/(1+Supuestos!$B$27)^4</f>
        <v>-28698671.2702012</v>
      </c>
      <c r="G28" s="7" t="n">
        <f aca="false">F28+G17/(1+Supuestos!$B$27)^5</f>
        <v>-16830185.1578352</v>
      </c>
    </row>
    <row r="29" customFormat="false" ht="14.25" hidden="false" customHeight="false" outlineLevel="0" collapsed="false">
      <c r="A29" s="5" t="s">
        <v>172</v>
      </c>
      <c r="B29" s="7" t="n">
        <f aca="false">B24</f>
        <v>-5063450</v>
      </c>
      <c r="C29" s="7" t="n">
        <f aca="false">B29+C24</f>
        <v>-6323578.72038555</v>
      </c>
      <c r="D29" s="7" t="n">
        <f aca="false">C29+D24</f>
        <v>-10038196.7479381</v>
      </c>
      <c r="E29" s="7" t="n">
        <f aca="false">D29+E24</f>
        <v>-13684415.8214992</v>
      </c>
      <c r="F29" s="7" t="n">
        <f aca="false">E29+F24</f>
        <v>-16610404.9219033</v>
      </c>
      <c r="G29" s="7" t="n">
        <f aca="false">F29+G24</f>
        <v>-4182428.43235169</v>
      </c>
    </row>
    <row r="30" customFormat="false" ht="14.25" hidden="false" customHeight="false" outlineLevel="0" collapsed="false">
      <c r="A30" s="5" t="s">
        <v>173</v>
      </c>
      <c r="B30" s="7" t="n">
        <f aca="false">B24</f>
        <v>-5063450</v>
      </c>
      <c r="C30" s="7" t="n">
        <f aca="false">B30+C24/(1+Supuestos!$B$27)^1</f>
        <v>-6263572.59084338</v>
      </c>
      <c r="D30" s="7" t="n">
        <f aca="false">C30+D24/(1+Supuestos!$B$27)^2</f>
        <v>-9632840.6430452</v>
      </c>
      <c r="E30" s="7" t="n">
        <f aca="false">D30+E24/(1+Supuestos!$B$27)^3</f>
        <v>-12782581.7712699</v>
      </c>
      <c r="F30" s="7" t="n">
        <f aca="false">E30+F24/(1+Supuestos!$B$27)^4</f>
        <v>-15189800.2453864</v>
      </c>
      <c r="G30" s="7" t="n">
        <f aca="false">F30+G24/(1+Supuestos!$B$27)^5</f>
        <v>-5452155.46956794</v>
      </c>
    </row>
    <row r="31" customFormat="false" ht="14.25" hidden="false" customHeight="false" outlineLevel="0" collapsed="false">
      <c r="A31" s="2" t="s">
        <v>174</v>
      </c>
      <c r="C31" s="27" t="str">
        <f aca="false">IF(AND(B27&lt;0,C27&gt;=0),0+(-B27)/(C17),"")</f>
        <v/>
      </c>
      <c r="D31" s="27" t="str">
        <f aca="false">IF(AND(C27&lt;0,D27&gt;=0),1+(-C27)/(D17),"")</f>
        <v/>
      </c>
      <c r="E31" s="27" t="str">
        <f aca="false">IF(AND(D27&lt;0,E27&gt;=0),2+(-D27)/(E17),"")</f>
        <v/>
      </c>
      <c r="F31" s="27" t="str">
        <f aca="false">IF(AND(E27&lt;0,F27&gt;=0),3+(-E27)/(F17),"")</f>
        <v/>
      </c>
      <c r="G31" s="27" t="str">
        <f aca="false">IF(AND(F27&lt;0,G27&gt;=0),4+(-F27)/(G17),"")</f>
        <v/>
      </c>
    </row>
    <row r="32" customFormat="false" ht="14.25" hidden="false" customHeight="false" outlineLevel="0" collapsed="false">
      <c r="A32" s="2" t="s">
        <v>175</v>
      </c>
      <c r="C32" s="27" t="str">
        <f aca="false">IF(AND(B28&lt;0,C28&gt;=0),0+(-B28)/(C17/(1+Supuestos!$B$27)^1),"")</f>
        <v/>
      </c>
      <c r="D32" s="27" t="str">
        <f aca="false">IF(AND(C28&lt;0,D28&gt;=0),1+(-C28)/(D17/(1+Supuestos!$B$27)^2),"")</f>
        <v/>
      </c>
      <c r="E32" s="27" t="str">
        <f aca="false">IF(AND(D28&lt;0,E28&gt;=0),2+(-D28)/(E17/(1+Supuestos!$B$27)^3),"")</f>
        <v/>
      </c>
      <c r="F32" s="27" t="str">
        <f aca="false">IF(AND(E28&lt;0,F28&gt;=0),3+(-E28)/(F17/(1+Supuestos!$B$27)^4),"")</f>
        <v/>
      </c>
      <c r="G32" s="27" t="str">
        <f aca="false">IF(AND(F28&lt;0,G28&gt;=0),4+(-F28)/(G17/(1+Supuestos!$B$27)^5),"")</f>
        <v/>
      </c>
    </row>
    <row r="33" customFormat="false" ht="14.25" hidden="false" customHeight="false" outlineLevel="0" collapsed="false">
      <c r="A33" s="2" t="s">
        <v>176</v>
      </c>
      <c r="C33" s="27" t="str">
        <f aca="false">IF(AND(B29&lt;0,C29&gt;=0),0+(-B29)/(C24),"")</f>
        <v/>
      </c>
      <c r="D33" s="27" t="str">
        <f aca="false">IF(AND(C29&lt;0,D29&gt;=0),1+(-C29)/(D24),"")</f>
        <v/>
      </c>
      <c r="E33" s="27" t="str">
        <f aca="false">IF(AND(D29&lt;0,E29&gt;=0),2+(-D29)/(E24),"")</f>
        <v/>
      </c>
      <c r="F33" s="27" t="str">
        <f aca="false">IF(AND(E29&lt;0,F29&gt;=0),3+(-E29)/(F24),"")</f>
        <v/>
      </c>
      <c r="G33" s="27" t="str">
        <f aca="false">IF(AND(F29&lt;0,G29&gt;=0),4+(-F29)/(G24),"")</f>
        <v/>
      </c>
    </row>
    <row r="34" customFormat="false" ht="14.25" hidden="false" customHeight="false" outlineLevel="0" collapsed="false">
      <c r="A34" s="2" t="s">
        <v>177</v>
      </c>
      <c r="C34" s="27" t="str">
        <f aca="false">IF(AND(B30&lt;0,C30&gt;=0),0+(-B30)/(C24/(1+Supuestos!$B$27)^1),"")</f>
        <v/>
      </c>
      <c r="D34" s="27" t="str">
        <f aca="false">IF(AND(C30&lt;0,D30&gt;=0),1+(-C30)/(D24/(1+Supuestos!$B$27)^2),"")</f>
        <v/>
      </c>
      <c r="E34" s="27" t="str">
        <f aca="false">IF(AND(D30&lt;0,E30&gt;=0),2+(-D30)/(E24/(1+Supuestos!$B$27)^3),"")</f>
        <v/>
      </c>
      <c r="F34" s="27" t="str">
        <f aca="false">IF(AND(E30&lt;0,F30&gt;=0),3+(-E30)/(F24/(1+Supuestos!$B$27)^4),"")</f>
        <v/>
      </c>
      <c r="G34" s="27" t="str">
        <f aca="false">IF(AND(F30&lt;0,G30&gt;=0),4+(-F30)/(G24/(1+Supuestos!$B$27)^5),"")</f>
        <v/>
      </c>
    </row>
    <row r="36" customFormat="false" ht="14.25" hidden="false" customHeight="false" outlineLevel="0" collapsed="false">
      <c r="A36" s="3" t="s">
        <v>178</v>
      </c>
      <c r="B36" s="23" t="s">
        <v>179</v>
      </c>
      <c r="C36" s="23" t="s">
        <v>180</v>
      </c>
    </row>
    <row r="37" customFormat="false" ht="14.25" hidden="false" customHeight="false" outlineLevel="0" collapsed="false">
      <c r="A37" s="5" t="s">
        <v>181</v>
      </c>
      <c r="B37" s="28" t="n">
        <f aca="false">Supuestos!$B$27</f>
        <v>0.05</v>
      </c>
      <c r="C37" s="28" t="n">
        <f aca="false">Supuestos!$B$27</f>
        <v>0.05</v>
      </c>
    </row>
    <row r="38" customFormat="false" ht="14.25" hidden="false" customHeight="false" outlineLevel="0" collapsed="false">
      <c r="A38" s="5" t="s">
        <v>182</v>
      </c>
      <c r="B38" s="29" t="n">
        <f aca="false">B17+NPV(Supuestos!$B$27,C17:G17)</f>
        <v>-16830185.1578352</v>
      </c>
      <c r="C38" s="29" t="n">
        <f aca="false">B24+NPV(Supuestos!$B$27,C24:G24)</f>
        <v>-5452155.46956793</v>
      </c>
    </row>
    <row r="39" customFormat="false" ht="14.25" hidden="false" customHeight="false" outlineLevel="0" collapsed="false">
      <c r="A39" s="5" t="s">
        <v>183</v>
      </c>
      <c r="B39" s="28" t="n">
        <f aca="false">IFERROR(IRR(B17:G17),"No existe")</f>
        <v>-0.096688852122034</v>
      </c>
      <c r="C39" s="28" t="n">
        <f aca="false">IFERROR(IRR(B24:G24),"No existe")</f>
        <v>-0.0919384905963708</v>
      </c>
    </row>
    <row r="40" customFormat="false" ht="14.25" hidden="false" customHeight="false" outlineLevel="0" collapsed="false">
      <c r="A40" s="5" t="s">
        <v>184</v>
      </c>
      <c r="B40" s="28" t="n">
        <f aca="false">MIRR(B17:G17,Supuestos!$B$27,Supuestos!$B$27)</f>
        <v>-0.0621800006473483</v>
      </c>
      <c r="C40" s="28" t="n">
        <f aca="false">MIRR(B24:G24,Supuestos!$B$27,Supuestos!$B$27)</f>
        <v>-0.0393400792777687</v>
      </c>
    </row>
    <row r="41" customFormat="false" ht="14.25" hidden="false" customHeight="false" outlineLevel="0" collapsed="false">
      <c r="A41" s="5" t="s">
        <v>185</v>
      </c>
      <c r="B41" s="30" t="str">
        <f aca="false">IF(COUNT(C31:G31)=0,"No se recupera",MIN(C31:G31))</f>
        <v>No se recupera</v>
      </c>
      <c r="C41" s="30" t="str">
        <f aca="false">IF(COUNT(C33:G33)=0,"No se recupera",MIN(C33:G33))</f>
        <v>No se recupera</v>
      </c>
    </row>
    <row r="42" customFormat="false" ht="14.25" hidden="false" customHeight="false" outlineLevel="0" collapsed="false">
      <c r="A42" s="5" t="s">
        <v>186</v>
      </c>
      <c r="B42" s="30" t="str">
        <f aca="false">IF(COUNT(C32:G32)=0,"No se recupera",MIN(C32:G32))</f>
        <v>No se recupera</v>
      </c>
      <c r="C42" s="30" t="str">
        <f aca="false">IF(COUNT(C34:G34)=0,"No se recupera",MIN(C34:G34))</f>
        <v>No se recupera</v>
      </c>
    </row>
    <row r="44" customFormat="false" ht="14.25" hidden="false" customHeight="false" outlineLevel="0" collapsed="false">
      <c r="A44" s="21" t="s">
        <v>187</v>
      </c>
      <c r="B44" s="26" t="n">
        <f aca="false">C38-B38</f>
        <v>11378029.6882673</v>
      </c>
    </row>
    <row r="46" customFormat="false" ht="14.25" hidden="false" customHeight="false" outlineLevel="0" collapsed="false">
      <c r="A46" s="2" t="s">
        <v>188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8671875" defaultRowHeight="14.25" zeroHeight="false" outlineLevelRow="0" outlineLevelCol="0"/>
  <cols>
    <col collapsed="false" customWidth="true" hidden="false" outlineLevel="0" max="1" min="1" style="0" width="80"/>
    <col collapsed="false" customWidth="true" hidden="false" outlineLevel="0" max="4" min="2" style="0" width="18"/>
  </cols>
  <sheetData>
    <row r="1" customFormat="false" ht="16.15" hidden="false" customHeight="false" outlineLevel="0" collapsed="false">
      <c r="A1" s="1" t="s">
        <v>189</v>
      </c>
    </row>
    <row r="2" customFormat="false" ht="14.25" hidden="false" customHeight="false" outlineLevel="0" collapsed="false">
      <c r="A2" s="2" t="s">
        <v>190</v>
      </c>
    </row>
    <row r="4" customFormat="false" ht="14.25" hidden="false" customHeight="false" outlineLevel="0" collapsed="false">
      <c r="A4" s="31" t="s">
        <v>191</v>
      </c>
      <c r="B4" s="23" t="s">
        <v>192</v>
      </c>
      <c r="C4" s="23" t="s">
        <v>193</v>
      </c>
      <c r="D4" s="23" t="s">
        <v>194</v>
      </c>
    </row>
    <row r="5" customFormat="false" ht="14.25" hidden="false" customHeight="false" outlineLevel="0" collapsed="false">
      <c r="A5" s="5" t="s">
        <v>195</v>
      </c>
      <c r="B5" s="7" t="n">
        <v>-16830185</v>
      </c>
      <c r="C5" s="7" t="n">
        <v>-5452155</v>
      </c>
      <c r="D5" s="12" t="n">
        <v>-0.0919384905963708</v>
      </c>
    </row>
    <row r="6" customFormat="false" ht="14.25" hidden="false" customHeight="false" outlineLevel="0" collapsed="false">
      <c r="A6" s="5" t="s">
        <v>196</v>
      </c>
      <c r="B6" s="7" t="n">
        <v>11744361</v>
      </c>
      <c r="C6" s="7" t="n">
        <v>23122391</v>
      </c>
      <c r="D6" s="12" t="n">
        <v>0.904889046629721</v>
      </c>
    </row>
    <row r="7" customFormat="false" ht="14.25" hidden="false" customHeight="false" outlineLevel="0" collapsed="false">
      <c r="A7" s="5" t="s">
        <v>197</v>
      </c>
      <c r="B7" s="7" t="n">
        <v>-27464531</v>
      </c>
      <c r="C7" s="7" t="n">
        <v>-16086502</v>
      </c>
      <c r="D7" s="12" t="s">
        <v>198</v>
      </c>
    </row>
    <row r="8" customFormat="false" ht="14.25" hidden="false" customHeight="false" outlineLevel="0" collapsed="false">
      <c r="A8" s="5" t="s">
        <v>199</v>
      </c>
      <c r="B8" s="7" t="n">
        <v>-20818065</v>
      </c>
      <c r="C8" s="7" t="n">
        <v>-9440035</v>
      </c>
      <c r="D8" s="12" t="n">
        <v>-0.253020506314344</v>
      </c>
    </row>
    <row r="9" customFormat="false" ht="14.25" hidden="false" customHeight="false" outlineLevel="0" collapsed="false">
      <c r="A9" s="5" t="s">
        <v>200</v>
      </c>
      <c r="B9" s="7" t="n">
        <v>-12842305</v>
      </c>
      <c r="C9" s="7" t="n">
        <v>-1464276</v>
      </c>
      <c r="D9" s="12" t="n">
        <v>0.0171216580577388</v>
      </c>
    </row>
    <row r="10" customFormat="false" ht="14.25" hidden="false" customHeight="false" outlineLevel="0" collapsed="false">
      <c r="A10" s="5" t="s">
        <v>201</v>
      </c>
      <c r="B10" s="7" t="n">
        <v>-15255380</v>
      </c>
      <c r="C10" s="7" t="n">
        <v>-5004288</v>
      </c>
      <c r="D10" s="12" t="n">
        <v>-0.0919384905963708</v>
      </c>
    </row>
    <row r="11" customFormat="false" ht="14.25" hidden="false" customHeight="false" outlineLevel="0" collapsed="false">
      <c r="A11" s="5" t="s">
        <v>202</v>
      </c>
      <c r="B11" s="7" t="n">
        <v>-20133975</v>
      </c>
      <c r="C11" s="7" t="n">
        <v>-6300106</v>
      </c>
      <c r="D11" s="12" t="n">
        <v>-0.0919384905963708</v>
      </c>
    </row>
    <row r="12" customFormat="false" ht="14.25" hidden="false" customHeight="false" outlineLevel="0" collapsed="false">
      <c r="A12" s="5" t="s">
        <v>203</v>
      </c>
      <c r="B12" s="7" t="n">
        <v>-16830185</v>
      </c>
      <c r="C12" s="7" t="n">
        <v>-8082957</v>
      </c>
      <c r="D12" s="12" t="n">
        <v>-0.15780208454473</v>
      </c>
    </row>
    <row r="13" customFormat="false" ht="14.25" hidden="false" customHeight="false" outlineLevel="0" collapsed="false">
      <c r="A13" s="5" t="s">
        <v>204</v>
      </c>
      <c r="B13" s="7" t="n">
        <v>-16830185</v>
      </c>
      <c r="C13" s="7" t="n">
        <v>-6463727</v>
      </c>
      <c r="D13" s="12" t="n">
        <v>-0.126089156059628</v>
      </c>
    </row>
    <row r="14" customFormat="false" ht="14.25" hidden="false" customHeight="false" outlineLevel="0" collapsed="false">
      <c r="A14" s="5" t="s">
        <v>205</v>
      </c>
      <c r="B14" s="7" t="n">
        <v>-19501487</v>
      </c>
      <c r="C14" s="7" t="n">
        <v>-6985655</v>
      </c>
      <c r="D14" s="12" t="n">
        <v>-0.114132674930207</v>
      </c>
    </row>
    <row r="15" customFormat="false" ht="14.25" hidden="false" customHeight="false" outlineLevel="0" collapsed="false">
      <c r="A15" s="5" t="s">
        <v>206</v>
      </c>
      <c r="B15" s="7" t="n">
        <v>-22025557</v>
      </c>
      <c r="C15" s="7" t="n">
        <v>-10647527</v>
      </c>
      <c r="D15" s="12" t="n">
        <v>-0.209872642484175</v>
      </c>
    </row>
    <row r="16" customFormat="false" ht="14.25" hidden="false" customHeight="false" outlineLevel="0" collapsed="false">
      <c r="A16" s="5" t="s">
        <v>207</v>
      </c>
      <c r="B16" s="7" t="n">
        <v>-18870048</v>
      </c>
      <c r="C16" s="7" t="n">
        <v>-7492018</v>
      </c>
      <c r="D16" s="12" t="n">
        <v>-0.143580684736133</v>
      </c>
    </row>
    <row r="17" customFormat="false" ht="14.25" hidden="false" customHeight="false" outlineLevel="0" collapsed="false">
      <c r="A17" s="5" t="s">
        <v>208</v>
      </c>
      <c r="B17" s="7" t="n">
        <v>-16018527</v>
      </c>
      <c r="C17" s="7" t="n">
        <v>-4640498</v>
      </c>
      <c r="D17" s="12" t="n">
        <v>-0.0720919803572878</v>
      </c>
    </row>
    <row r="19" customFormat="false" ht="14.25" hidden="false" customHeight="false" outlineLevel="0" collapsed="false">
      <c r="A19" s="3" t="s">
        <v>209</v>
      </c>
    </row>
    <row r="20" customFormat="false" ht="14.25" hidden="false" customHeight="false" outlineLevel="0" collapsed="false">
      <c r="A20" s="5" t="s">
        <v>210</v>
      </c>
      <c r="B20" s="12" t="n">
        <v>0.6051</v>
      </c>
    </row>
    <row r="21" customFormat="false" ht="14.25" hidden="false" customHeight="false" outlineLevel="0" collapsed="false">
      <c r="A21" s="5" t="s">
        <v>211</v>
      </c>
      <c r="B21" s="7" t="n">
        <v>773946</v>
      </c>
    </row>
    <row r="22" customFormat="false" ht="14.25" hidden="false" customHeight="false" outlineLevel="0" collapsed="false">
      <c r="A22" s="5" t="s">
        <v>212</v>
      </c>
      <c r="B22" s="7" t="n">
        <v>554943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2026-09-28T22:55:49Z</dcterms:created>
  <dc:creator>openpyxl</dc:creator>
  <dc:description/>
  <dc:language>en-US</dc:language>
  <cp:lastModifiedBy/>
  <dcterms:modified xsi:type="dcterms:W3CDTF">2026-09-30T19:32:01Z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